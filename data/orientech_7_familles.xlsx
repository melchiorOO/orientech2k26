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elleguitton/Downloads/jeu v2/"/>
    </mc:Choice>
  </mc:AlternateContent>
  <xr:revisionPtr revIDLastSave="0" documentId="8_{FD8678A8-4E77-7F4B-91D0-DF1024AEF857}" xr6:coauthVersionLast="47" xr6:coauthVersionMax="47" xr10:uidLastSave="{00000000-0000-0000-0000-000000000000}"/>
  <bookViews>
    <workbookView xWindow="0" yWindow="660" windowWidth="29400" windowHeight="17180" activeTab="3" xr2:uid="{00000000-000D-0000-FFFF-FFFF00000000}"/>
  </bookViews>
  <sheets>
    <sheet name="Mode d'emploi" sheetId="1" r:id="rId1"/>
    <sheet name="Questions" sheetId="2" r:id="rId2"/>
    <sheet name="Métiers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</calcChain>
</file>

<file path=xl/sharedStrings.xml><?xml version="1.0" encoding="utf-8"?>
<sst xmlns="http://schemas.openxmlformats.org/spreadsheetml/2006/main" count="1011" uniqueCount="375">
  <si>
    <t>ORIENTech — comment remplir ce fichier</t>
  </si>
  <si>
    <t>1. Onglet « Métiers » : une ligne par métier (M01 à M16). Remplace les textes en MAJUSCULES.</t>
  </si>
  <si>
    <t xml:space="preserve">   • bacs et competences : plusieurs valeurs séparées par un point-virgule  ;</t>
  </si>
  <si>
    <t xml:space="preserve">   • etape1 à etape3 = le parcours ; etape_cible = le lieu de travail final (carte jaune).</t>
  </si>
  <si>
    <t xml:space="preserve">   • La ligne grise en italique sous les en-têtes est un exemple : laisse-la ou supprime-la, elle est ignorée.</t>
  </si>
  <si>
    <t>2. Onglet « Questions » : une ligne par question, puis pour CHAQUE métier :</t>
  </si>
  <si>
    <t xml:space="preserve">   O  = un élève fait pour ce métier répondrait OUI</t>
  </si>
  <si>
    <t xml:space="preserve">   N  = il répondrait NON</t>
  </si>
  <si>
    <t xml:space="preserve">   ?  = ça n'a pas d'importance pour ce métier (une case vide compte comme ?)</t>
  </si>
  <si>
    <t xml:space="preserve">   • Colonne « exemple » (facultative) : une petite situation concrète pour aider l'élève à répondre.</t>
  </si>
  <si>
    <t xml:space="preserve">     Elle s'affiche sous la question. Ex : « Tu passes ton samedi à monter une cabane ou à réparer ton vélo. »</t>
  </si>
  <si>
    <t xml:space="preserve">     Reste court (une phrase, ~15 mots) pour que ça tienne dans la bulle.</t>
  </si>
  <si>
    <t>Comment le jeu choisit :</t>
  </si>
  <si>
    <t xml:space="preserve">   • Aucun métier n'est éliminé : chaque réponse fait monter les métiers qui concordent et descendre les autres.</t>
  </si>
  <si>
    <t xml:space="preserve">   • Le jeu pose d'abord les questions qui départagent le mieux les métiers encore en tête.</t>
  </si>
  <si>
    <t xml:space="preserve">   • Il s'arrête dès qu'un métier se détache (minimum 8 questions, maximum 20).</t>
  </si>
  <si>
    <t>Conseils :</t>
  </si>
  <si>
    <t xml:space="preserve">   • Vise 25 à 30 questions. Plus il y en a, plus le résultat est fiable.</t>
  </si>
  <si>
    <t xml:space="preserve">   • Chaque question doit avoir plusieurs O ET plusieurs N : une question avec que des O ne sert à rien.</t>
  </si>
  <si>
    <t xml:space="preserve">   • Deux métiers ne doivent pas avoir exactement la même colonne, sinon le jeu ne peut pas les départager.</t>
  </si>
  <si>
    <t xml:space="preserve">   • Les questions doivent parler de goûts et de situations concrètes (pas « veux-tu être infirmier ? »).</t>
  </si>
  <si>
    <t xml:space="preserve">   • Ne renomme pas les onglets ni la 1re ligne (id, question, exemple, M01…).</t>
  </si>
  <si>
    <t>id</t>
  </si>
  <si>
    <t>question</t>
  </si>
  <si>
    <t>exemple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</si>
  <si>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</si>
  <si>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</si>
  <si>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</si>
  <si>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</si>
  <si>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</si>
  <si>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</si>
  <si>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</si>
  <si>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</si>
  <si>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</si>
  <si>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</si>
  <si>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</si>
  <si>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</si>
  <si>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</si>
  <si>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</si>
  <si>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</si>
  <si>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</si>
  <si>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nom du métier →</t>
  </si>
  <si>
    <t>Q01</t>
  </si>
  <si>
    <t>C'est en bricolant ou en réparant des objets que tu t'éclates le plus.</t>
  </si>
  <si>
    <t>Tu passes ton samedi à réparer ton vélo ou à démonter une vieille radio.</t>
  </si>
  <si>
    <t>O</t>
  </si>
  <si>
    <t>N</t>
  </si>
  <si>
    <t>?</t>
  </si>
  <si>
    <t>Q02</t>
  </si>
  <si>
    <t>C'est quand tu vois quelque chose réagir à ce que tu as programmé que tu es le plus fier(ère).</t>
  </si>
  <si>
    <t>Ton petit robot avance, s'arrête et allume une lumière quand tu tapes dans les mains.</t>
  </si>
  <si>
    <t>Q03</t>
  </si>
  <si>
    <t>C'est en soignant l'aspect des choses (couleurs, formes, mise en page) que tu donnes le meilleur de toi.</t>
  </si>
  <si>
    <t>Tu choisis les couleurs et les images d'une affiche pour le club du collège.</t>
  </si>
  <si>
    <t>Q04</t>
  </si>
  <si>
    <t>C'est en te mettant à la place des autres que tu trouves les meilleures idées.</t>
  </si>
  <si>
    <t>Tu devines pourquoi un ami est déçu avant même qu'il te le dise.</t>
  </si>
  <si>
    <t>Q05</t>
  </si>
  <si>
    <t>C'est en écrivant des textes courts et percutants que tu te sens le plus à l'aise.</t>
  </si>
  <si>
    <t>Tu rédiges la légende d'une photo ou le texte d'une invitation qui donne envie.</t>
  </si>
  <si>
    <t>Q06</t>
  </si>
  <si>
    <t>C'est en suivant ce qui plaît en ligne (vidéos, tendances, réseaux) que tu te sens dans ton élément.</t>
  </si>
  <si>
    <t>Tu repères avant tout le monde la vidéo ou le défi qui va devenir viral.</t>
  </si>
  <si>
    <t>Q07</t>
  </si>
  <si>
    <t>C'est quand tu réussis à attirer un maximum de monde que tu es le plus content(e).</t>
  </si>
  <si>
    <t>Ton affiche ou ton post fait venir deux fois plus de monde à la kermesse.</t>
  </si>
  <si>
    <t>Q08</t>
  </si>
  <si>
    <t>C'est en jouant avec des chiffres, des tableaux et des graphiques que tu te sens à l'aise.</t>
  </si>
  <si>
    <t>Tu notes les scores de ta classe à un jeu et tu en fais un graphique.</t>
  </si>
  <si>
    <t>Q09</t>
  </si>
  <si>
    <t>C'est en cherchant ce qui se cache derrière des chiffres que tu donnes le meilleur de toi.</t>
  </si>
  <si>
    <t>Tu remarques que les ventes de la buvette montent toujours quand il fait chaud.</t>
  </si>
  <si>
    <t>Q10</t>
  </si>
  <si>
    <t>C'est en menant l'enquête, indice après indice, que tu t'éclates le plus.</t>
  </si>
  <si>
    <t>Dans un jeu d'enquête, tu relis chaque détail pour découvrir qui a fait le coup.</t>
  </si>
  <si>
    <t>Q11</t>
  </si>
  <si>
    <t>C'est en cherchant à piéger un système pour voir s'il résiste que tu t'amuses le plus.</t>
  </si>
  <si>
    <t>Tu essaies de battre le jeu en trouvant le passage secret que personne n'a vu.</t>
  </si>
  <si>
    <t>Q12</t>
  </si>
  <si>
    <t>C'est quand il faut surveiller et réagir vite à une alerte que tu es le plus efficace.</t>
  </si>
  <si>
    <t>En jouant en ligne, tu repères tout de suite quand quelque chose cloche.</t>
  </si>
  <si>
    <t>Q13</t>
  </si>
  <si>
    <t>C'est en protégeant les autres ou leurs affaires que tu te sens le plus utile.</t>
  </si>
  <si>
    <t>Tu aides un ami à sécuriser son compte de jeu pour qu'on ne le lui vole pas.</t>
  </si>
  <si>
    <t>Q14</t>
  </si>
  <si>
    <t>C'est en organisant un projet (qui fait quoi, pour quand) que tu donnes le meilleur de toi.</t>
  </si>
  <si>
    <t>Pour la fête de fin d'année, tu fais le planning et tu répartis les tâches.</t>
  </si>
  <si>
    <t>Q15</t>
  </si>
  <si>
    <t>C'est en décidant ce qui est le plus important à faire en premier que tu te sens à ta place.</t>
  </si>
  <si>
    <t>Il reste une heure avant le rendu : tu choisis ce qu'il faut absolument finir.</t>
  </si>
  <si>
    <t>Q16</t>
  </si>
  <si>
    <t>C'est en faisant le lien entre des personnes très différentes que tu es le plus à l'aise.</t>
  </si>
  <si>
    <t>Tu aides un ami sportif et un ami artiste à se comprendre sur un projet commun.</t>
  </si>
  <si>
    <t>Q17</t>
  </si>
  <si>
    <t>C'est quand tu peux te concentrer seul(e) longtemps sur un problème de logique que tu donnes le meilleur de toi.</t>
  </si>
  <si>
    <t>Tu passes une heure sur un casse-tête ou un sudoku sans voir le temps passer.</t>
  </si>
  <si>
    <t>Q18</t>
  </si>
  <si>
    <t>C'est en aidant quelqu'un en direct à régler son problème que tu te sens le plus utile.</t>
  </si>
  <si>
    <t>Un camarade ne retrouve plus son fichier : tu lui montres comment faire.</t>
  </si>
  <si>
    <t>Q19</t>
  </si>
  <si>
    <t>C'est en expliquant simplement une chose compliquée que tu te sens le plus à l'aise.</t>
  </si>
  <si>
    <t>Tu expliques à ton petit frère comment marche un jeu aux règles difficiles.</t>
  </si>
  <si>
    <t>Q20</t>
  </si>
  <si>
    <t>C'est en vérifiant plusieurs fois que tout marche avant de rendre quelque chose que tu es le plus serein(e).</t>
  </si>
  <si>
    <t>Avant de rendre ton exposé, tu le relis et tu testes le diaporama deux fois.</t>
  </si>
  <si>
    <t>Q21</t>
  </si>
  <si>
    <t>C'est en imaginant des idées nouvelles et originales que tu donnes le meilleur de toi.</t>
  </si>
  <si>
    <t>Pour le club, tu proposes plusieurs activités que personne n'avait imaginées.</t>
  </si>
  <si>
    <t>Q22</t>
  </si>
  <si>
    <t>C'est en suivant une méthode précise, étape par étape, que tu es le plus efficace.</t>
  </si>
  <si>
    <t>Tu suis une recette ou un tutoriel à la lettre pour réussir du premier coup.</t>
  </si>
  <si>
    <t>Q23</t>
  </si>
  <si>
    <t>C'est en cherchant comment rendre un objet ou une appli simple à utiliser que tu t'éclates.</t>
  </si>
  <si>
    <t>Tu réorganises les boutons de la télécommande pour que mamie s'y retrouve.</t>
  </si>
  <si>
    <t>Q24</t>
  </si>
  <si>
    <t>C'est en comprenant comment ça marche à l'intérieur que tu t'amuses le plus.</t>
  </si>
  <si>
    <t>Tu ouvres un jouet ou tu cherches comment fonctionne un jeu derrière l'écran.</t>
  </si>
  <si>
    <t>Q25</t>
  </si>
  <si>
    <t>C'est quand ton travail se voit tout de suite sur un écran que tu es le plus motivé(e).</t>
  </si>
  <si>
    <t>Tu changes une couleur et tu vois aussitôt la page se transformer.</t>
  </si>
  <si>
    <t>Q26</t>
  </si>
  <si>
    <t>C'est en apprenant vite de nouveaux outils ou logiciels que tu te sens à l'aise.</t>
  </si>
  <si>
    <t>Tu prends en main une nouvelle appli de montage en une soirée.</t>
  </si>
  <si>
    <t>Q27</t>
  </si>
  <si>
    <t>C'est en faisant en sorte que tout tienne, même quand beaucoup de monde s'en sert, que tu es fier(ère).</t>
  </si>
  <si>
    <t>Pendant un tournoi en ligne, tout reste fluide alors que cent joueurs sont connectés.</t>
  </si>
  <si>
    <t>Q28</t>
  </si>
  <si>
    <t>C'est en demandant aux gens ce qu'ils pensent que tu avances le mieux.</t>
  </si>
  <si>
    <t>Tu fais un petit sondage dans ta classe avant de choisir le thème de la sortie.</t>
  </si>
  <si>
    <t>Q29</t>
  </si>
  <si>
    <t>C'est en travaillant discrètement pour que tout fonctionne, sans qu'on te remarque, que tu te sens bien.</t>
  </si>
  <si>
    <t>Pendant le spectacle, tu gères les lumières depuis le fond de la salle.</t>
  </si>
  <si>
    <t>Q30</t>
  </si>
  <si>
    <t>C'est en discutant avec les gens de ce dont ils ont besoin que tu trouves quoi faire.</t>
  </si>
  <si>
    <t>Un voisin veut un site pour son club : tu l'interroges sur ce qu'il attend.</t>
  </si>
  <si>
    <t>nom</t>
  </si>
  <si>
    <t>salaire</t>
  </si>
  <si>
    <t>salaire_note</t>
  </si>
  <si>
    <t>dynamique</t>
  </si>
  <si>
    <t>dynamique_note</t>
  </si>
  <si>
    <t>cursus</t>
  </si>
  <si>
    <t>bacs</t>
  </si>
  <si>
    <t>etape1</t>
  </si>
  <si>
    <t>detail1</t>
  </si>
  <si>
    <t>etape2</t>
  </si>
  <si>
    <t>detail2</t>
  </si>
  <si>
    <t>etape3</t>
  </si>
  <si>
    <t>detail3</t>
  </si>
  <si>
    <t>etape_cible</t>
  </si>
  <si>
    <t>detail_cible</t>
  </si>
  <si>
    <t>competences</t>
  </si>
  <si>
    <t>matieres_terminale</t>
  </si>
  <si>
    <t>mission1</t>
  </si>
  <si>
    <t>mission2</t>
  </si>
  <si>
    <t>ex : Game Designer</t>
  </si>
  <si>
    <t>ex : 3 200 €</t>
  </si>
  <si>
    <t>ex : Évolution ultra-rapide</t>
  </si>
  <si>
    <t>ex : +18 %</t>
  </si>
  <si>
    <t>ex : Secteur porteur mondial</t>
  </si>
  <si>
    <t>ex : Bac +3/+5</t>
  </si>
  <si>
    <t>ex : Générale ; STD2A ; STI2D</t>
  </si>
  <si>
    <t>ex : Collège 3ème</t>
  </si>
  <si>
    <t>ex : Stage découverte</t>
  </si>
  <si>
    <t>ex : Lycée Général</t>
  </si>
  <si>
    <t>ex : Spécialités Arts / NSI</t>
  </si>
  <si>
    <t>ex : École Sup / Master</t>
  </si>
  <si>
    <t>ex : Game Art &amp; Design</t>
  </si>
  <si>
    <t>ex : Studio de Jeu</t>
  </si>
  <si>
    <t>ex : Créativité ; Storytelling ; Logique</t>
  </si>
  <si>
    <t>ex : Maths ; NSI ; Anglais</t>
  </si>
  <si>
    <t>ex : Écrire le code d'une appli</t>
  </si>
  <si>
    <t>ex : Tester et corriger les bugs</t>
  </si>
  <si>
    <t>Administrateur·rice systèmes et réseaux</t>
  </si>
  <si>
    <t>38–45 k€/an</t>
  </si>
  <si>
    <t>Brut par an, début de carrière (0-2 ans)</t>
  </si>
  <si>
    <t>À confirmer</t>
  </si>
  <si>
    <t>Pas de projection publiée pour ce métier</t>
  </si>
  <si>
    <t>Bac +2/+5</t>
  </si>
  <si>
    <t>Pro Systèmes numériques ; STI2D ; Générale</t>
  </si>
  <si>
    <t>Collège 3ème</t>
  </si>
  <si>
    <t>Maths, technologie</t>
  </si>
  <si>
    <t>Lycée</t>
  </si>
  <si>
    <t>Bac pro SN, STI2D ou spécialité NSI</t>
  </si>
  <si>
    <t>Études supérieures</t>
  </si>
  <si>
    <t>BTS SIO SISR ; BUT Réseaux et télécoms ; école d'ingénieurs</t>
  </si>
  <si>
    <t>Salle serveurs ou service informatique</t>
  </si>
  <si>
    <t>Résoudre avec méthode ; Coopérer en équipe ; S'adapter et rebondir</t>
  </si>
  <si>
    <t>NSI ; Mathématiques ; Physique-chimie</t>
  </si>
  <si>
    <t>Installer et entretenir les serveurs et les réseaux</t>
  </si>
  <si>
    <t>Surveiller leur bon fonctionnement et réparer vite en cas de panne</t>
  </si>
  <si>
    <t>Technicien·ne support et maintenance</t>
  </si>
  <si>
    <t>dès 22 k€/an</t>
  </si>
  <si>
    <t>Brut, début de carrière ; médiane ≈ 33 k€/an</t>
  </si>
  <si>
    <t>+4 %</t>
  </si>
  <si>
    <t>Emplois en plus d'ici 2030 (techniciens de l'informatique)</t>
  </si>
  <si>
    <t>Bac +2</t>
  </si>
  <si>
    <t>Technologie, français, anglais</t>
  </si>
  <si>
    <t>Bac pro SN ou STI2D</t>
  </si>
  <si>
    <t>BTS SIO SISR ; BUT Réseaux et télécoms</t>
  </si>
  <si>
    <t>Service informatique ou centre d'assistance</t>
  </si>
  <si>
    <t>Technicien·ne support</t>
  </si>
  <si>
    <t>Communiquer et expliquer ; Résoudre avec méthode ; S'adapter et rebondir</t>
  </si>
  <si>
    <t>NSI ; Mathématiques ; Anglais</t>
  </si>
  <si>
    <t>Dépanner les ordinateurs, imprimantes et téléphones des utilisateurs</t>
  </si>
  <si>
    <t>Installer le matériel et expliquer simplement comment s'en servir</t>
  </si>
  <si>
    <t>Ingénieur·e cloud</t>
  </si>
  <si>
    <t>45–50 k€/an</t>
  </si>
  <si>
    <t>+26 %</t>
  </si>
  <si>
    <t>Emplois en plus d'ici 2030 (métiers de l'informatique)</t>
  </si>
  <si>
    <t>Bac +3/+5</t>
  </si>
  <si>
    <t>Générale ; STI2D</t>
  </si>
  <si>
    <t>Maths, technologie, anglais</t>
  </si>
  <si>
    <t>Spécialités NSI et maths</t>
  </si>
  <si>
    <t>BUT Informatique ; licence pro ; école d'ingénieurs</t>
  </si>
  <si>
    <t>Entreprise du numérique ou hébergeur</t>
  </si>
  <si>
    <t>Résoudre avec méthode ; Apprendre à apprendre ; S'adapter et rebondir</t>
  </si>
  <si>
    <t>Mettre en place les serveurs et services hébergés sur internet (le cloud)</t>
  </si>
  <si>
    <t>Automatiser et surveiller pour que les services restent disponibles</t>
  </si>
  <si>
    <t>Ingénieur·e IoT et systèmes embarqués</t>
  </si>
  <si>
    <t>Demande soutenue mais sélective (Licorne Society)</t>
  </si>
  <si>
    <t>Générale ; STI2D ; Pro Systèmes numériques</t>
  </si>
  <si>
    <t>Technologie, maths, physique-chimie</t>
  </si>
  <si>
    <t>Spécialités maths, physique ou Sciences de l'ingénieur</t>
  </si>
  <si>
    <t>BUT GEII ; école d'ingénieurs (électronique, informatique)</t>
  </si>
  <si>
    <t>Entreprise d'objets connectés ou d'industrie</t>
  </si>
  <si>
    <t>Ingénieur·e IoT</t>
  </si>
  <si>
    <t>Résoudre avec méthode ; Créer et innover ; Coopérer en équipe</t>
  </si>
  <si>
    <t>Mathématiques ; Physique-chimie ; Sciences de l'ingénieur</t>
  </si>
  <si>
    <t>Concevoir les petits ordinateurs et capteurs intégrés aux objets (montres, voitures, robots)</t>
  </si>
  <si>
    <t>Programmer leur fonctionnement et les relier à internet</t>
  </si>
  <si>
    <t>UX / UI designer</t>
  </si>
  <si>
    <t>Recrutement jugé plus difficile que la moyenne (France Travail)</t>
  </si>
  <si>
    <t>Générale ; STD2A ; STI2D</t>
  </si>
  <si>
    <t>Arts plastiques, français, technologie</t>
  </si>
  <si>
    <t>Spécialité arts ou bac STD2A</t>
  </si>
  <si>
    <t>BUT Métiers du multimédia ; DN MADE numérique ; école de design</t>
  </si>
  <si>
    <t>Agence ou studio de design</t>
  </si>
  <si>
    <t>Créer et innover ; Communiquer et expliquer ; Apprendre à apprendre</t>
  </si>
  <si>
    <t>Arts plastiques ; HLP ; Anglais</t>
  </si>
  <si>
    <t>Dessiner les écrans d'un site ou d'une appli (couleurs, boutons, parcours)</t>
  </si>
  <si>
    <t>Tester avec de vrais utilisateurs et améliorer le résultat</t>
  </si>
  <si>
    <t>Développeur·se front-end / full stack</t>
  </si>
  <si>
    <t>Spécialité NSI ou maths ; STI2D</t>
  </si>
  <si>
    <t>BTS SIO SLAM ; BUT Informatique ; école d'ingénieurs</t>
  </si>
  <si>
    <t>Entreprise du numérique ou studio</t>
  </si>
  <si>
    <t>Développeur·se front-end</t>
  </si>
  <si>
    <t>Résoudre avec méthode ; Créer et innover ; Apprendre à apprendre</t>
  </si>
  <si>
    <t>Programmer ce que l'utilisateur voit et touche : pages web et applications</t>
  </si>
  <si>
    <t>Faire en sorte que ce soit fluide sur tous les écrans</t>
  </si>
  <si>
    <t>Développeur·se back-end</t>
  </si>
  <si>
    <t>40–48 k€/an</t>
  </si>
  <si>
    <t>Entreprise du numérique</t>
  </si>
  <si>
    <t>Résoudre avec méthode ; Coopérer en équipe ; Analyser et raisonner</t>
  </si>
  <si>
    <t>Construire la partie cachée d'une appli : serveurs et bases de données</t>
  </si>
  <si>
    <t>Garder l'appli rapide et sûre quand beaucoup d'utilisateurs se connectent</t>
  </si>
  <si>
    <t>Testeur·se / ingénieur·e QA</t>
  </si>
  <si>
    <t>35–42 k€/an</t>
  </si>
  <si>
    <t>Brut, début de carrière, Paris (30–35 k€ en régions)</t>
  </si>
  <si>
    <t>Bac +2/+3</t>
  </si>
  <si>
    <t>Maths, technologie, français</t>
  </si>
  <si>
    <t>BTS SIO ; BUT Informatique ; formations en test logiciel</t>
  </si>
  <si>
    <t>Équipe qualité d'un éditeur de logiciels</t>
  </si>
  <si>
    <t>Testeur·se QA</t>
  </si>
  <si>
    <t>Analyser et raisonner ; Coopérer en équipe ; Communiquer et expliquer</t>
  </si>
  <si>
    <t>Tester un logiciel sur plusieurs appareils pour trouver les défauts</t>
  </si>
  <si>
    <t>Décrire chaque bug aux développeurs et vérifier qu'il est corrigé</t>
  </si>
  <si>
    <t>Data analyst</t>
  </si>
  <si>
    <t>38–46 k€/an</t>
  </si>
  <si>
    <t>Maths, histoire-géo, technologie</t>
  </si>
  <si>
    <t>Spécialités maths et NSI</t>
  </si>
  <si>
    <t>BUT Science des données ; licence puis master ; école d'ingénieurs</t>
  </si>
  <si>
    <t>Équipe données d'une entreprise</t>
  </si>
  <si>
    <t>Analyser et raisonner ; Communiquer et expliquer ; Résoudre avec méthode</t>
  </si>
  <si>
    <t>Mathématiques ; NSI ; SES</t>
  </si>
  <si>
    <t>Collecter et nettoyer des données pour en tirer des informations utiles</t>
  </si>
  <si>
    <t>Les présenter avec des graphiques pour aider à décider</t>
  </si>
  <si>
    <t>Ingénieur·e en intelligence artificielle</t>
  </si>
  <si>
    <t>46–55 k€/an</t>
  </si>
  <si>
    <t>Bac +5</t>
  </si>
  <si>
    <t>Maths, physique-chimie, technologie</t>
  </si>
  <si>
    <t>Laboratoire ou entreprise d'IA</t>
  </si>
  <si>
    <t>Ingénieur·e en IA</t>
  </si>
  <si>
    <t>Analyser et raisonner ; Apprendre à apprendre ; Créer et innover</t>
  </si>
  <si>
    <t>Mathématiques ; NSI ; Anglais</t>
  </si>
  <si>
    <t>Entraîner des programmes à reconnaître images, textes ou sons à partir de données</t>
  </si>
  <si>
    <t>Vérifier que l'IA est fiable et repérer ses erreurs ou ses biais</t>
  </si>
  <si>
    <t>Community manager</t>
  </si>
  <si>
    <t>24–30 k€/an</t>
  </si>
  <si>
    <t>Générale ; STMG ; Pro</t>
  </si>
  <si>
    <t>Français, anglais, arts plastiques</t>
  </si>
  <si>
    <t>Spécialité langues ou humanités ; STMG</t>
  </si>
  <si>
    <t>BUT Information-communication ou MMI ; licence info-com</t>
  </si>
  <si>
    <t>Marque, agence ou studio de jeu</t>
  </si>
  <si>
    <t>Communiquer et expliquer ; Créer et innover ; S'adapter et rebondir</t>
  </si>
  <si>
    <t>Anglais ; HLP ; SES</t>
  </si>
  <si>
    <t>Animer les réseaux sociaux d'une marque ou d'un jeu et publier du contenu</t>
  </si>
  <si>
    <t>Répondre à la communauté et apaiser les tensions</t>
  </si>
  <si>
    <t>Consultant·e SEO / SEA (acquisition de trafic)</t>
  </si>
  <si>
    <t>27–33 k€/an</t>
  </si>
  <si>
    <t>Générale ; STMG</t>
  </si>
  <si>
    <t>Maths, français, anglais</t>
  </si>
  <si>
    <t>Spécialités maths, langues ou SES ; STMG</t>
  </si>
  <si>
    <t>BUT Techniques de commercialisation ou MMI ; licence ou master marketing digital</t>
  </si>
  <si>
    <t>Agence digitale ou service marketing</t>
  </si>
  <si>
    <t>Consultant·e SEO / SEA</t>
  </si>
  <si>
    <t>Analyser et raisonner ; Communiquer et expliquer ; S'adapter et rebondir</t>
  </si>
  <si>
    <t>Mathématiques ; SES ; Anglais</t>
  </si>
  <si>
    <t>Faire en sorte qu'un site ou une vidéo soit facile à trouver sur les moteurs de recherche</t>
  </si>
  <si>
    <t>Suivre les chiffres de visites et ajuster les campagnes de publicité en ligne</t>
  </si>
  <si>
    <t>Pentesteur·se (hacker éthique)</t>
  </si>
  <si>
    <t>45–55 k€/an</t>
  </si>
  <si>
    <t>BTS CIEL ; BUT Réseaux et télécoms (cybersécurité) ; école d'ingénieurs</t>
  </si>
  <si>
    <t>Cabinet ou équipe de cybersécurité</t>
  </si>
  <si>
    <t>Pentesteur·se</t>
  </si>
  <si>
    <t>Analyser et raisonner ; Résoudre avec méthode ; Apprendre à apprendre</t>
  </si>
  <si>
    <t>Chercher les failles d'un système en simulant une attaque, avec autorisation</t>
  </si>
  <si>
    <t>Proposer et mettre en place les protections</t>
  </si>
  <si>
    <t>Analyste SOC (cyberdéfense)</t>
  </si>
  <si>
    <t>Centre de supervision de la sécurité (SOC)</t>
  </si>
  <si>
    <t>Analyste SOC</t>
  </si>
  <si>
    <t>Analyser et raisonner ; Résoudre avec méthode ; S'adapter et rebondir</t>
  </si>
  <si>
    <t>Surveiller en continu les alertes de sécurité d'une organisation</t>
  </si>
  <si>
    <t>Réagir vite en cas d'attaque pour la stopper et limiter les dégâts</t>
  </si>
  <si>
    <t>Chef·fe de projet digital</t>
  </si>
  <si>
    <t>Générale ; STMG ; STI2D</t>
  </si>
  <si>
    <t>BUT ou licence puis master ; école d'ingénieurs ou de commerce</t>
  </si>
  <si>
    <t>Agence ou direction de projet numérique</t>
  </si>
  <si>
    <t>Coopérer en équipe ; Communiquer et expliquer ; Résoudre avec méthode</t>
  </si>
  <si>
    <t>Planifier le projet, répartir le travail et suivre budget et délais</t>
  </si>
  <si>
    <t>Faire le lien entre clients, développeurs et designers</t>
  </si>
  <si>
    <t>Product owner</t>
  </si>
  <si>
    <t>Français, maths, anglais</t>
  </si>
  <si>
    <t>Spécialités SES, maths ou langues ; STMG</t>
  </si>
  <si>
    <t>Équipe produit d'un éditeur ou d'une appli</t>
  </si>
  <si>
    <t>Communiquer et expliquer ; Créer et innover ; Coopérer en équipe</t>
  </si>
  <si>
    <t>SES ; Anglais ; Mathématiques</t>
  </si>
  <si>
    <t>Recueillir les besoins des utilisateurs et décider quoi construire en premier</t>
  </si>
  <si>
    <t>Faire le lien entre utilisateurs, développeurs et designers</t>
  </si>
  <si>
    <t>Donnée</t>
  </si>
  <si>
    <t>Métiers concernés</t>
  </si>
  <si>
    <t>Source</t>
  </si>
  <si>
    <t>Réserve</t>
  </si>
  <si>
    <t>Salaires juniors (0-2 ans), brut annuel</t>
  </si>
  <si>
    <t>Admin systèmes et réseaux, cloud, UX/UI, front-end, back-end, data analyst, IA, pentesteur, analyste SOC, chef de projet, product owner</t>
  </si>
  <si>
    <t>Factoriel, Grille des salaires IT, Data et IA 2026 — https://www.factoriel.fr/grille-salaires-it-data-ia-2026/</t>
  </si>
  <si>
    <t>Baromètre d'un cabinet privé ; contexte (Paris ou région) non précisé ; à recouper avec l'Apec ou le Céreq.</t>
  </si>
  <si>
    <t>Salaire ingénieur systèmes embarqués / IoT</t>
  </si>
  <si>
    <t>IoT et systèmes embarqués</t>
  </si>
  <si>
    <t>Licorne Society, fiche métier mise à jour le 14/09/2026 — https://www.licornesociety.com/metiers-startup/ingenieur-systeme-embarque</t>
  </si>
  <si>
    <t>Aucune étude salariale sous-jacente citée.</t>
  </si>
  <si>
    <t>Salaire ingénieur QA (Paris)</t>
  </si>
  <si>
    <t>Silkhom, Salaires informatique 2026 — https://www.silkhom.com/les-salaires-informatique-et-electronique/</t>
  </si>
  <si>
    <t>Libellé « ingénieur QA » ; 30–35 k€ en régions.</t>
  </si>
  <si>
    <t>Salaires community manager et traffic manager / SEA</t>
  </si>
  <si>
    <t>Community manager, SEO / SEA</t>
  </si>
  <si>
    <t>Id4com, Salaire marketing digital France 2026 — https://id4communication.fr/2026/07/salaire-marketing-digital-france-2026/</t>
  </si>
  <si>
    <t>Page sans source nommée ; « traffic manager / SEA » est le métier le plus proche de SEO / SEA.</t>
  </si>
  <si>
    <t>Salaire technicien helpdesk</t>
  </si>
  <si>
    <t>Journal du Net, Encyclo salaires 2026 (Michael Page) — https://www.journaldunet.com/business/salaire/technicien-helpdesk/salaire-01105</t>
  </si>
  <si>
    <t>Débutant ≈ 1 823 € brut/mois ; médiane ≈ 2 787 €/mois (≈ 33 k€/an).</t>
  </si>
  <si>
    <t>Dynamique : emplois créés d'ici 2030</t>
  </si>
  <si>
    <t>Développeurs front et back-end, cloud, IA (+26 %) ; support (+4 %)</t>
  </si>
  <si>
    <t>France Stratégie / Dares, Métiers 2030, reprise par L'Étudiant — https://www.letudiant.fr/metiers/les-metiers-qui-recrutent/l-actu-de-l-emploi-les-metiers-qui-vont-le-plus-recruter-d-ici-2030.html ; France Travail, Éclairages et synthèses n°86 (avril 2026), tableau 5</t>
  </si>
  <si>
    <t>Taux calculés par grande famille de métiers (ingénieurs de l'informatique, techniciens de l'informatique), pas par métier ; rattachement des métiers à ces familles = interprétation. « À confirmer » = aucun chiffre trouvé.</t>
  </si>
  <si>
    <t>Recrutement du multimédia plus difficile que la moyenne</t>
  </si>
  <si>
    <t>France Travail, Éclairages et synthèses n°86 (avril 2026)</t>
  </si>
  <si>
    <t>Concerne les concepteurs et réalisateurs multimédia.</t>
  </si>
  <si>
    <t>7 familles du numérique</t>
  </si>
  <si>
    <t>Ensemble</t>
  </si>
  <si>
    <t>France Travail, « Le Numérique en 7 familles » (diapositive)</t>
  </si>
  <si>
    <t>Point de départ du choix des 16 métiers (3 infra, 1 IoT, 4 design-dev-test, 2 data/IA, 2 marketing, 2 cyber, 2 stratégie).</t>
  </si>
  <si>
    <t>Bacs, spécialités, études, matières de terminale, missions, compétences</t>
  </si>
  <si>
    <t>Tous</t>
  </si>
  <si>
    <t>Proposition de l'assistant, à valider</t>
  </si>
  <si>
    <t>À confirmer sur l'Onisep et avec des professionnels.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</si>
</sst>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2A85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i/>
      <sz val="11"/>
      <color rgb="FF888888"/>
      <name val="Calibri"/>
      <family val="2"/>
    </font>
    <font>
      <b/>
      <sz val="11"/>
      <name val="Calibri"/>
      <family val="2"/>
    </font>
    <font>
      <b/>
      <sz val="9"/>
      <color rgb="FF2E0B4E"/>
      <name val="Calibri"/>
      <family val="2"/>
    </font>
    <font>
      <i/>
      <sz val="11"/>
      <color rgb="FF7B208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0B4E"/>
      </patternFill>
    </fill>
    <fill>
      <patternFill patternType="solid">
        <fgColor rgb="FFEEEEEE"/>
      </patternFill>
    </fill>
    <fill>
      <patternFill patternType="solid">
        <fgColor rgb="FFFFE6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0" fontId="7" fillId="4" borderId="1" xfId="0" applyFont="1" applyFill="1" applyBorder="1" applyAlignment="1">
      <alignment horizontal="center" textRotation="90"/>
    </xf>
    <xf numFmtId="0" fontId="6" fillId="0" borderId="1" xfId="0" applyFont="1" applyBorder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/>
    <xf numFmtId="0" fontId="6" fillId="0" borderId="1" xfId="0" applyFont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E0E0E0"/>
        </patternFill>
      </fill>
    </dxf>
    <dxf>
      <fill>
        <patternFill patternType="solid">
          <fgColor rgb="FFFFC2C2"/>
        </patternFill>
      </fill>
    </dxf>
    <dxf>
      <fill>
        <patternFill patternType="solid">
          <fgColor rgb="FFB6F5C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/>
    </row>
    <row r="16" spans="1:1" x14ac:dyDescent="0.2">
      <c r="A16" s="3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/>
    </row>
    <row r="21" spans="1:1" x14ac:dyDescent="0.2">
      <c r="A21" s="3" t="s">
        <v>16</v>
      </c>
    </row>
    <row r="22" spans="1:1" x14ac:dyDescent="0.2">
      <c r="A22" s="2" t="s">
        <v>17</v>
      </c>
    </row>
    <row r="23" spans="1:1" x14ac:dyDescent="0.2">
      <c r="A23" s="2" t="s">
        <v>18</v>
      </c>
    </row>
    <row r="24" spans="1:1" x14ac:dyDescent="0.2">
      <c r="A24" s="2" t="s">
        <v>19</v>
      </c>
    </row>
    <row r="25" spans="1:1" x14ac:dyDescent="0.2">
      <c r="A25" s="2" t="s">
        <v>20</v>
      </c>
    </row>
    <row r="26" spans="1:1" x14ac:dyDescent="0.2">
      <c r="A26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"/>
  <sheetViews>
    <sheetView workbookViewId="0">
      <pane xSplit="3" ySplit="2" topLeftCell="D1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3" width="50" customWidth="1"/>
    <col min="4" max="19" width="6" customWidth="1"/>
  </cols>
  <sheetData>
    <row r="1" spans="1:19" ht="16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</row>
    <row r="2" spans="1:19" ht="120" customHeight="1" x14ac:dyDescent="0.2">
      <c r="C2" s="5" t="s">
        <v>41</v>
      </c>
      <c r="D2" s="6" t="str">
        <f>Métiers!B3</f>
        <v>Administrateur·rice systèmes et réseaux</v>
      </c>
      <c r="E2" s="6" t="str">
        <f>Métiers!B4</f>
        <v>Technicien·ne support et maintenance</v>
      </c>
      <c r="F2" s="6" t="str">
        <f>Métiers!B5</f>
        <v>Ingénieur·e cloud</v>
      </c>
      <c r="G2" s="6" t="str">
        <f>Métiers!B6</f>
        <v>Ingénieur·e IoT et systèmes embarqués</v>
      </c>
      <c r="H2" s="6" t="str">
        <f>Métiers!B7</f>
        <v>UX / UI designer</v>
      </c>
      <c r="I2" s="6" t="str">
        <f>Métiers!B8</f>
        <v>Développeur·se front-end / full stack</v>
      </c>
      <c r="J2" s="6" t="str">
        <f>Métiers!B9</f>
        <v>Développeur·se back-end</v>
      </c>
      <c r="K2" s="6" t="str">
        <f>Métiers!B10</f>
        <v>Testeur·se / ingénieur·e QA</v>
      </c>
      <c r="L2" s="6" t="str">
        <f>Métiers!B11</f>
        <v>Data analyst</v>
      </c>
      <c r="M2" s="6" t="str">
        <f>Métiers!B12</f>
        <v>Ingénieur·e en intelligence artificielle</v>
      </c>
      <c r="N2" s="6" t="str">
        <f>Métiers!B13</f>
        <v>Community manager</v>
      </c>
      <c r="O2" s="6" t="str">
        <f>Métiers!B14</f>
        <v>Consultant·e SEO / SEA (acquisition de trafic)</v>
      </c>
      <c r="P2" s="6" t="str">
        <f>Métiers!B15</f>
        <v>Pentesteur·se (hacker éthique)</v>
      </c>
      <c r="Q2" s="6" t="str">
        <f>Métiers!B16</f>
        <v>Analyste SOC (cyberdéfense)</v>
      </c>
      <c r="R2" s="6" t="str">
        <f>Métiers!B17</f>
        <v>Chef·fe de projet digital</v>
      </c>
      <c r="S2" s="6" t="str">
        <f>Métiers!B18</f>
        <v>Product owner</v>
      </c>
    </row>
    <row r="3" spans="1:19" ht="32" x14ac:dyDescent="0.2">
      <c r="A3" s="7" t="s">
        <v>42</v>
      </c>
      <c r="B3" s="8" t="s">
        <v>43</v>
      </c>
      <c r="C3" s="9" t="s">
        <v>44</v>
      </c>
      <c r="D3" s="10" t="s">
        <v>45</v>
      </c>
      <c r="E3" s="10" t="s">
        <v>45</v>
      </c>
      <c r="F3" s="10" t="s">
        <v>46</v>
      </c>
      <c r="G3" s="10" t="s">
        <v>45</v>
      </c>
      <c r="H3" s="10" t="s">
        <v>46</v>
      </c>
      <c r="I3" s="10" t="s">
        <v>46</v>
      </c>
      <c r="J3" s="10" t="s">
        <v>46</v>
      </c>
      <c r="K3" s="10" t="s">
        <v>47</v>
      </c>
      <c r="L3" s="10" t="s">
        <v>46</v>
      </c>
      <c r="M3" s="10" t="s">
        <v>46</v>
      </c>
      <c r="N3" s="10" t="s">
        <v>46</v>
      </c>
      <c r="O3" s="10" t="s">
        <v>46</v>
      </c>
      <c r="P3" s="10" t="s">
        <v>46</v>
      </c>
      <c r="Q3" s="10" t="s">
        <v>46</v>
      </c>
      <c r="R3" s="10" t="s">
        <v>46</v>
      </c>
      <c r="S3" s="10" t="s">
        <v>46</v>
      </c>
    </row>
    <row r="4" spans="1:19" ht="32" x14ac:dyDescent="0.2">
      <c r="A4" s="7" t="s">
        <v>48</v>
      </c>
      <c r="B4" s="8" t="s">
        <v>49</v>
      </c>
      <c r="C4" s="9" t="s">
        <v>50</v>
      </c>
      <c r="D4" s="10" t="s">
        <v>46</v>
      </c>
      <c r="E4" s="10" t="s">
        <v>46</v>
      </c>
      <c r="F4" s="10" t="s">
        <v>47</v>
      </c>
      <c r="G4" s="10" t="s">
        <v>45</v>
      </c>
      <c r="H4" s="10" t="s">
        <v>47</v>
      </c>
      <c r="I4" s="10" t="s">
        <v>45</v>
      </c>
      <c r="J4" s="10" t="s">
        <v>46</v>
      </c>
      <c r="K4" s="10" t="s">
        <v>46</v>
      </c>
      <c r="L4" s="10" t="s">
        <v>46</v>
      </c>
      <c r="M4" s="10" t="s">
        <v>47</v>
      </c>
      <c r="N4" s="10" t="s">
        <v>46</v>
      </c>
      <c r="O4" s="10" t="s">
        <v>46</v>
      </c>
      <c r="P4" s="10" t="s">
        <v>46</v>
      </c>
      <c r="Q4" s="10" t="s">
        <v>46</v>
      </c>
      <c r="R4" s="10" t="s">
        <v>46</v>
      </c>
      <c r="S4" s="10" t="s">
        <v>46</v>
      </c>
    </row>
    <row r="5" spans="1:19" ht="32" x14ac:dyDescent="0.2">
      <c r="A5" s="7" t="s">
        <v>51</v>
      </c>
      <c r="B5" s="8" t="s">
        <v>52</v>
      </c>
      <c r="C5" s="9" t="s">
        <v>53</v>
      </c>
      <c r="D5" s="10" t="s">
        <v>46</v>
      </c>
      <c r="E5" s="10" t="s">
        <v>46</v>
      </c>
      <c r="F5" s="10" t="s">
        <v>46</v>
      </c>
      <c r="G5" s="10" t="s">
        <v>46</v>
      </c>
      <c r="H5" s="10" t="s">
        <v>45</v>
      </c>
      <c r="I5" s="10" t="s">
        <v>45</v>
      </c>
      <c r="J5" s="10" t="s">
        <v>46</v>
      </c>
      <c r="K5" s="10" t="s">
        <v>46</v>
      </c>
      <c r="L5" s="10" t="s">
        <v>46</v>
      </c>
      <c r="M5" s="10" t="s">
        <v>46</v>
      </c>
      <c r="N5" s="10" t="s">
        <v>45</v>
      </c>
      <c r="O5" s="10" t="s">
        <v>47</v>
      </c>
      <c r="P5" s="10" t="s">
        <v>46</v>
      </c>
      <c r="Q5" s="10" t="s">
        <v>46</v>
      </c>
      <c r="R5" s="10" t="s">
        <v>46</v>
      </c>
      <c r="S5" s="10" t="s">
        <v>46</v>
      </c>
    </row>
    <row r="6" spans="1:19" ht="32" x14ac:dyDescent="0.2">
      <c r="A6" s="7" t="s">
        <v>54</v>
      </c>
      <c r="B6" s="8" t="s">
        <v>55</v>
      </c>
      <c r="C6" s="9" t="s">
        <v>56</v>
      </c>
      <c r="D6" s="10" t="s">
        <v>46</v>
      </c>
      <c r="E6" s="10" t="s">
        <v>45</v>
      </c>
      <c r="F6" s="10" t="s">
        <v>46</v>
      </c>
      <c r="G6" s="10" t="s">
        <v>46</v>
      </c>
      <c r="H6" s="10" t="s">
        <v>45</v>
      </c>
      <c r="I6" s="10" t="s">
        <v>46</v>
      </c>
      <c r="J6" s="10" t="s">
        <v>46</v>
      </c>
      <c r="K6" s="10" t="s">
        <v>46</v>
      </c>
      <c r="L6" s="10" t="s">
        <v>46</v>
      </c>
      <c r="M6" s="10" t="s">
        <v>46</v>
      </c>
      <c r="N6" s="10" t="s">
        <v>45</v>
      </c>
      <c r="O6" s="10" t="s">
        <v>46</v>
      </c>
      <c r="P6" s="10" t="s">
        <v>46</v>
      </c>
      <c r="Q6" s="10" t="s">
        <v>46</v>
      </c>
      <c r="R6" s="10" t="s">
        <v>47</v>
      </c>
      <c r="S6" s="10" t="s">
        <v>45</v>
      </c>
    </row>
    <row r="7" spans="1:19" ht="32" x14ac:dyDescent="0.2">
      <c r="A7" s="7" t="s">
        <v>57</v>
      </c>
      <c r="B7" s="8" t="s">
        <v>58</v>
      </c>
      <c r="C7" s="9" t="s">
        <v>59</v>
      </c>
      <c r="D7" s="10" t="s">
        <v>46</v>
      </c>
      <c r="E7" s="10" t="s">
        <v>46</v>
      </c>
      <c r="F7" s="10" t="s">
        <v>46</v>
      </c>
      <c r="G7" s="10" t="s">
        <v>46</v>
      </c>
      <c r="H7" s="10" t="s">
        <v>46</v>
      </c>
      <c r="I7" s="10" t="s">
        <v>46</v>
      </c>
      <c r="J7" s="10" t="s">
        <v>46</v>
      </c>
      <c r="K7" s="10" t="s">
        <v>46</v>
      </c>
      <c r="L7" s="10" t="s">
        <v>46</v>
      </c>
      <c r="M7" s="10" t="s">
        <v>46</v>
      </c>
      <c r="N7" s="10" t="s">
        <v>45</v>
      </c>
      <c r="O7" s="10" t="s">
        <v>45</v>
      </c>
      <c r="P7" s="10" t="s">
        <v>46</v>
      </c>
      <c r="Q7" s="10" t="s">
        <v>46</v>
      </c>
      <c r="R7" s="10" t="s">
        <v>47</v>
      </c>
      <c r="S7" s="10" t="s">
        <v>45</v>
      </c>
    </row>
    <row r="8" spans="1:19" ht="32" x14ac:dyDescent="0.2">
      <c r="A8" s="7" t="s">
        <v>60</v>
      </c>
      <c r="B8" s="8" t="s">
        <v>61</v>
      </c>
      <c r="C8" s="9" t="s">
        <v>62</v>
      </c>
      <c r="D8" s="10" t="s">
        <v>46</v>
      </c>
      <c r="E8" s="10" t="s">
        <v>46</v>
      </c>
      <c r="F8" s="10" t="s">
        <v>46</v>
      </c>
      <c r="G8" s="10" t="s">
        <v>46</v>
      </c>
      <c r="H8" s="10" t="s">
        <v>46</v>
      </c>
      <c r="I8" s="10" t="s">
        <v>46</v>
      </c>
      <c r="J8" s="10" t="s">
        <v>46</v>
      </c>
      <c r="K8" s="10" t="s">
        <v>46</v>
      </c>
      <c r="L8" s="10" t="s">
        <v>46</v>
      </c>
      <c r="M8" s="10" t="s">
        <v>46</v>
      </c>
      <c r="N8" s="10" t="s">
        <v>45</v>
      </c>
      <c r="O8" s="10" t="s">
        <v>45</v>
      </c>
      <c r="P8" s="10" t="s">
        <v>46</v>
      </c>
      <c r="Q8" s="10" t="s">
        <v>46</v>
      </c>
      <c r="R8" s="10" t="s">
        <v>46</v>
      </c>
      <c r="S8" s="10" t="s">
        <v>47</v>
      </c>
    </row>
    <row r="9" spans="1:19" ht="32" x14ac:dyDescent="0.2">
      <c r="A9" s="7" t="s">
        <v>63</v>
      </c>
      <c r="B9" s="8" t="s">
        <v>64</v>
      </c>
      <c r="C9" s="9" t="s">
        <v>65</v>
      </c>
      <c r="D9" s="10" t="s">
        <v>46</v>
      </c>
      <c r="E9" s="10" t="s">
        <v>46</v>
      </c>
      <c r="F9" s="10" t="s">
        <v>46</v>
      </c>
      <c r="G9" s="10" t="s">
        <v>46</v>
      </c>
      <c r="H9" s="10" t="s">
        <v>46</v>
      </c>
      <c r="I9" s="10" t="s">
        <v>46</v>
      </c>
      <c r="J9" s="10" t="s">
        <v>46</v>
      </c>
      <c r="K9" s="10" t="s">
        <v>46</v>
      </c>
      <c r="L9" s="10" t="s">
        <v>46</v>
      </c>
      <c r="M9" s="10" t="s">
        <v>46</v>
      </c>
      <c r="N9" s="10" t="s">
        <v>45</v>
      </c>
      <c r="O9" s="10" t="s">
        <v>45</v>
      </c>
      <c r="P9" s="10" t="s">
        <v>46</v>
      </c>
      <c r="Q9" s="10" t="s">
        <v>46</v>
      </c>
      <c r="R9" s="10" t="s">
        <v>47</v>
      </c>
      <c r="S9" s="10" t="s">
        <v>45</v>
      </c>
    </row>
    <row r="10" spans="1:19" ht="32" x14ac:dyDescent="0.2">
      <c r="A10" s="7" t="s">
        <v>66</v>
      </c>
      <c r="B10" s="8" t="s">
        <v>67</v>
      </c>
      <c r="C10" s="9" t="s">
        <v>68</v>
      </c>
      <c r="D10" s="10" t="s">
        <v>46</v>
      </c>
      <c r="E10" s="10" t="s">
        <v>46</v>
      </c>
      <c r="F10" s="10" t="s">
        <v>46</v>
      </c>
      <c r="G10" s="10" t="s">
        <v>46</v>
      </c>
      <c r="H10" s="10" t="s">
        <v>46</v>
      </c>
      <c r="I10" s="10" t="s">
        <v>46</v>
      </c>
      <c r="J10" s="10" t="s">
        <v>46</v>
      </c>
      <c r="K10" s="10" t="s">
        <v>47</v>
      </c>
      <c r="L10" s="10" t="s">
        <v>45</v>
      </c>
      <c r="M10" s="10" t="s">
        <v>45</v>
      </c>
      <c r="N10" s="10" t="s">
        <v>46</v>
      </c>
      <c r="O10" s="10" t="s">
        <v>45</v>
      </c>
      <c r="P10" s="10" t="s">
        <v>46</v>
      </c>
      <c r="Q10" s="10" t="s">
        <v>46</v>
      </c>
      <c r="R10" s="10" t="s">
        <v>45</v>
      </c>
      <c r="S10" s="10" t="s">
        <v>46</v>
      </c>
    </row>
    <row r="11" spans="1:19" ht="32" x14ac:dyDescent="0.2">
      <c r="A11" s="7" t="s">
        <v>69</v>
      </c>
      <c r="B11" s="8" t="s">
        <v>70</v>
      </c>
      <c r="C11" s="9" t="s">
        <v>71</v>
      </c>
      <c r="D11" s="10" t="s">
        <v>46</v>
      </c>
      <c r="E11" s="10" t="s">
        <v>46</v>
      </c>
      <c r="F11" s="10" t="s">
        <v>46</v>
      </c>
      <c r="G11" s="10" t="s">
        <v>46</v>
      </c>
      <c r="H11" s="10" t="s">
        <v>46</v>
      </c>
      <c r="I11" s="10" t="s">
        <v>46</v>
      </c>
      <c r="J11" s="10" t="s">
        <v>46</v>
      </c>
      <c r="K11" s="10" t="s">
        <v>46</v>
      </c>
      <c r="L11" s="10" t="s">
        <v>45</v>
      </c>
      <c r="M11" s="10" t="s">
        <v>45</v>
      </c>
      <c r="N11" s="10" t="s">
        <v>46</v>
      </c>
      <c r="O11" s="10" t="s">
        <v>47</v>
      </c>
      <c r="P11" s="10" t="s">
        <v>47</v>
      </c>
      <c r="Q11" s="10" t="s">
        <v>45</v>
      </c>
      <c r="R11" s="10" t="s">
        <v>46</v>
      </c>
      <c r="S11" s="10" t="s">
        <v>47</v>
      </c>
    </row>
    <row r="12" spans="1:19" ht="32" x14ac:dyDescent="0.2">
      <c r="A12" s="7" t="s">
        <v>72</v>
      </c>
      <c r="B12" s="8" t="s">
        <v>73</v>
      </c>
      <c r="C12" s="9" t="s">
        <v>74</v>
      </c>
      <c r="D12" s="10" t="s">
        <v>46</v>
      </c>
      <c r="E12" s="10" t="s">
        <v>46</v>
      </c>
      <c r="F12" s="10" t="s">
        <v>46</v>
      </c>
      <c r="G12" s="10" t="s">
        <v>46</v>
      </c>
      <c r="H12" s="10" t="s">
        <v>46</v>
      </c>
      <c r="I12" s="10" t="s">
        <v>46</v>
      </c>
      <c r="J12" s="10" t="s">
        <v>46</v>
      </c>
      <c r="K12" s="10" t="s">
        <v>47</v>
      </c>
      <c r="L12" s="10" t="s">
        <v>45</v>
      </c>
      <c r="M12" s="10" t="s">
        <v>46</v>
      </c>
      <c r="N12" s="10" t="s">
        <v>46</v>
      </c>
      <c r="O12" s="10" t="s">
        <v>46</v>
      </c>
      <c r="P12" s="10" t="s">
        <v>45</v>
      </c>
      <c r="Q12" s="10" t="s">
        <v>45</v>
      </c>
      <c r="R12" s="10" t="s">
        <v>46</v>
      </c>
      <c r="S12" s="10" t="s">
        <v>46</v>
      </c>
    </row>
    <row r="13" spans="1:19" ht="32" x14ac:dyDescent="0.2">
      <c r="A13" s="7" t="s">
        <v>75</v>
      </c>
      <c r="B13" s="8" t="s">
        <v>76</v>
      </c>
      <c r="C13" s="9" t="s">
        <v>77</v>
      </c>
      <c r="D13" s="10" t="s">
        <v>46</v>
      </c>
      <c r="E13" s="10" t="s">
        <v>46</v>
      </c>
      <c r="F13" s="10" t="s">
        <v>46</v>
      </c>
      <c r="G13" s="10" t="s">
        <v>46</v>
      </c>
      <c r="H13" s="10" t="s">
        <v>46</v>
      </c>
      <c r="I13" s="10" t="s">
        <v>47</v>
      </c>
      <c r="J13" s="10" t="s">
        <v>46</v>
      </c>
      <c r="K13" s="10" t="s">
        <v>45</v>
      </c>
      <c r="L13" s="10" t="s">
        <v>46</v>
      </c>
      <c r="M13" s="10" t="s">
        <v>46</v>
      </c>
      <c r="N13" s="10" t="s">
        <v>46</v>
      </c>
      <c r="O13" s="10" t="s">
        <v>46</v>
      </c>
      <c r="P13" s="10" t="s">
        <v>45</v>
      </c>
      <c r="Q13" s="10" t="s">
        <v>46</v>
      </c>
      <c r="R13" s="10" t="s">
        <v>46</v>
      </c>
      <c r="S13" s="10" t="s">
        <v>46</v>
      </c>
    </row>
    <row r="14" spans="1:19" ht="32" x14ac:dyDescent="0.2">
      <c r="A14" s="7" t="s">
        <v>78</v>
      </c>
      <c r="B14" s="8" t="s">
        <v>79</v>
      </c>
      <c r="C14" s="9" t="s">
        <v>80</v>
      </c>
      <c r="D14" s="10" t="s">
        <v>45</v>
      </c>
      <c r="E14" s="10" t="s">
        <v>45</v>
      </c>
      <c r="F14" s="10" t="s">
        <v>45</v>
      </c>
      <c r="G14" s="10" t="s">
        <v>47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45</v>
      </c>
      <c r="R14" s="10" t="s">
        <v>46</v>
      </c>
      <c r="S14" s="10" t="s">
        <v>46</v>
      </c>
    </row>
    <row r="15" spans="1:19" ht="32" x14ac:dyDescent="0.2">
      <c r="A15" s="7" t="s">
        <v>81</v>
      </c>
      <c r="B15" s="8" t="s">
        <v>82</v>
      </c>
      <c r="C15" s="9" t="s">
        <v>83</v>
      </c>
      <c r="D15" s="10" t="s">
        <v>47</v>
      </c>
      <c r="E15" s="10" t="s">
        <v>47</v>
      </c>
      <c r="F15" s="10" t="s">
        <v>47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45</v>
      </c>
      <c r="Q15" s="10" t="s">
        <v>45</v>
      </c>
      <c r="R15" s="10" t="s">
        <v>46</v>
      </c>
      <c r="S15" s="10" t="s">
        <v>46</v>
      </c>
    </row>
    <row r="16" spans="1:19" ht="32" x14ac:dyDescent="0.2">
      <c r="A16" s="7" t="s">
        <v>84</v>
      </c>
      <c r="B16" s="8" t="s">
        <v>85</v>
      </c>
      <c r="C16" s="9" t="s">
        <v>86</v>
      </c>
      <c r="D16" s="10" t="s">
        <v>45</v>
      </c>
      <c r="E16" s="10" t="s">
        <v>46</v>
      </c>
      <c r="F16" s="10" t="s">
        <v>46</v>
      </c>
      <c r="G16" s="10" t="s">
        <v>46</v>
      </c>
      <c r="H16" s="10" t="s">
        <v>46</v>
      </c>
      <c r="I16" s="10" t="s">
        <v>46</v>
      </c>
      <c r="J16" s="10" t="s">
        <v>46</v>
      </c>
      <c r="K16" s="10" t="s">
        <v>45</v>
      </c>
      <c r="L16" s="10" t="s">
        <v>46</v>
      </c>
      <c r="M16" s="10" t="s">
        <v>46</v>
      </c>
      <c r="N16" s="10" t="s">
        <v>46</v>
      </c>
      <c r="O16" s="10" t="s">
        <v>46</v>
      </c>
      <c r="P16" s="10" t="s">
        <v>46</v>
      </c>
      <c r="Q16" s="10" t="s">
        <v>46</v>
      </c>
      <c r="R16" s="10" t="s">
        <v>45</v>
      </c>
      <c r="S16" s="10" t="s">
        <v>46</v>
      </c>
    </row>
    <row r="17" spans="1:19" ht="32" x14ac:dyDescent="0.2">
      <c r="A17" s="7" t="s">
        <v>87</v>
      </c>
      <c r="B17" s="8" t="s">
        <v>88</v>
      </c>
      <c r="C17" s="9" t="s">
        <v>89</v>
      </c>
      <c r="D17" s="10" t="s">
        <v>46</v>
      </c>
      <c r="E17" s="10" t="s">
        <v>46</v>
      </c>
      <c r="F17" s="10" t="s">
        <v>46</v>
      </c>
      <c r="G17" s="10" t="s">
        <v>46</v>
      </c>
      <c r="H17" s="10" t="s">
        <v>46</v>
      </c>
      <c r="I17" s="10" t="s">
        <v>46</v>
      </c>
      <c r="J17" s="10" t="s">
        <v>46</v>
      </c>
      <c r="K17" s="10" t="s">
        <v>46</v>
      </c>
      <c r="L17" s="10" t="s">
        <v>46</v>
      </c>
      <c r="M17" s="10" t="s">
        <v>46</v>
      </c>
      <c r="N17" s="10" t="s">
        <v>46</v>
      </c>
      <c r="O17" s="10" t="s">
        <v>47</v>
      </c>
      <c r="P17" s="10" t="s">
        <v>46</v>
      </c>
      <c r="Q17" s="10" t="s">
        <v>46</v>
      </c>
      <c r="R17" s="10" t="s">
        <v>45</v>
      </c>
      <c r="S17" s="10" t="s">
        <v>45</v>
      </c>
    </row>
    <row r="18" spans="1:19" ht="32" x14ac:dyDescent="0.2">
      <c r="A18" s="7" t="s">
        <v>90</v>
      </c>
      <c r="B18" s="8" t="s">
        <v>91</v>
      </c>
      <c r="C18" s="9" t="s">
        <v>92</v>
      </c>
      <c r="D18" s="10" t="s">
        <v>46</v>
      </c>
      <c r="E18" s="10" t="s">
        <v>47</v>
      </c>
      <c r="F18" s="10" t="s">
        <v>46</v>
      </c>
      <c r="G18" s="10" t="s">
        <v>46</v>
      </c>
      <c r="H18" s="10" t="s">
        <v>45</v>
      </c>
      <c r="I18" s="10" t="s">
        <v>46</v>
      </c>
      <c r="J18" s="10" t="s">
        <v>46</v>
      </c>
      <c r="K18" s="10" t="s">
        <v>46</v>
      </c>
      <c r="L18" s="10" t="s">
        <v>46</v>
      </c>
      <c r="M18" s="10" t="s">
        <v>46</v>
      </c>
      <c r="N18" s="10" t="s">
        <v>47</v>
      </c>
      <c r="O18" s="10" t="s">
        <v>46</v>
      </c>
      <c r="P18" s="10" t="s">
        <v>46</v>
      </c>
      <c r="Q18" s="10" t="s">
        <v>46</v>
      </c>
      <c r="R18" s="10" t="s">
        <v>45</v>
      </c>
      <c r="S18" s="10" t="s">
        <v>45</v>
      </c>
    </row>
    <row r="19" spans="1:19" ht="32" x14ac:dyDescent="0.2">
      <c r="A19" s="7" t="s">
        <v>93</v>
      </c>
      <c r="B19" s="8" t="s">
        <v>94</v>
      </c>
      <c r="C19" s="9" t="s">
        <v>95</v>
      </c>
      <c r="D19" s="10" t="s">
        <v>47</v>
      </c>
      <c r="E19" s="10" t="s">
        <v>46</v>
      </c>
      <c r="F19" s="10" t="s">
        <v>46</v>
      </c>
      <c r="G19" s="10" t="s">
        <v>47</v>
      </c>
      <c r="H19" s="10" t="s">
        <v>46</v>
      </c>
      <c r="I19" s="10" t="s">
        <v>47</v>
      </c>
      <c r="J19" s="10" t="s">
        <v>45</v>
      </c>
      <c r="K19" s="10" t="s">
        <v>46</v>
      </c>
      <c r="L19" s="10" t="s">
        <v>45</v>
      </c>
      <c r="M19" s="10" t="s">
        <v>45</v>
      </c>
      <c r="N19" s="10" t="s">
        <v>46</v>
      </c>
      <c r="O19" s="10" t="s">
        <v>46</v>
      </c>
      <c r="P19" s="10" t="s">
        <v>45</v>
      </c>
      <c r="Q19" s="10" t="s">
        <v>47</v>
      </c>
      <c r="R19" s="10" t="s">
        <v>46</v>
      </c>
      <c r="S19" s="10" t="s">
        <v>46</v>
      </c>
    </row>
    <row r="20" spans="1:19" ht="32" x14ac:dyDescent="0.2">
      <c r="A20" s="7" t="s">
        <v>96</v>
      </c>
      <c r="B20" s="8" t="s">
        <v>97</v>
      </c>
      <c r="C20" s="9" t="s">
        <v>98</v>
      </c>
      <c r="D20" s="10" t="s">
        <v>47</v>
      </c>
      <c r="E20" s="10" t="s">
        <v>45</v>
      </c>
      <c r="F20" s="10" t="s">
        <v>46</v>
      </c>
      <c r="G20" s="10" t="s">
        <v>46</v>
      </c>
      <c r="H20" s="10" t="s">
        <v>46</v>
      </c>
      <c r="I20" s="10" t="s">
        <v>46</v>
      </c>
      <c r="J20" s="10" t="s">
        <v>46</v>
      </c>
      <c r="K20" s="10" t="s">
        <v>46</v>
      </c>
      <c r="L20" s="10" t="s">
        <v>46</v>
      </c>
      <c r="M20" s="10" t="s">
        <v>46</v>
      </c>
      <c r="N20" s="10" t="s">
        <v>45</v>
      </c>
      <c r="O20" s="10" t="s">
        <v>46</v>
      </c>
      <c r="P20" s="10" t="s">
        <v>46</v>
      </c>
      <c r="Q20" s="10" t="s">
        <v>47</v>
      </c>
      <c r="R20" s="10" t="s">
        <v>46</v>
      </c>
      <c r="S20" s="10" t="s">
        <v>47</v>
      </c>
    </row>
    <row r="21" spans="1:19" ht="32" x14ac:dyDescent="0.2">
      <c r="A21" s="7" t="s">
        <v>99</v>
      </c>
      <c r="B21" s="8" t="s">
        <v>100</v>
      </c>
      <c r="C21" s="9" t="s">
        <v>101</v>
      </c>
      <c r="D21" s="10" t="s">
        <v>46</v>
      </c>
      <c r="E21" s="10" t="s">
        <v>45</v>
      </c>
      <c r="F21" s="10" t="s">
        <v>46</v>
      </c>
      <c r="G21" s="10" t="s">
        <v>46</v>
      </c>
      <c r="H21" s="10" t="s">
        <v>45</v>
      </c>
      <c r="I21" s="10" t="s">
        <v>46</v>
      </c>
      <c r="J21" s="10" t="s">
        <v>46</v>
      </c>
      <c r="K21" s="10" t="s">
        <v>47</v>
      </c>
      <c r="L21" s="10" t="s">
        <v>45</v>
      </c>
      <c r="M21" s="10" t="s">
        <v>46</v>
      </c>
      <c r="N21" s="10" t="s">
        <v>47</v>
      </c>
      <c r="O21" s="10" t="s">
        <v>46</v>
      </c>
      <c r="P21" s="10" t="s">
        <v>46</v>
      </c>
      <c r="Q21" s="10" t="s">
        <v>46</v>
      </c>
      <c r="R21" s="10" t="s">
        <v>45</v>
      </c>
      <c r="S21" s="10" t="s">
        <v>45</v>
      </c>
    </row>
    <row r="22" spans="1:19" ht="32" x14ac:dyDescent="0.2">
      <c r="A22" s="7" t="s">
        <v>102</v>
      </c>
      <c r="B22" s="8" t="s">
        <v>103</v>
      </c>
      <c r="C22" s="9" t="s">
        <v>104</v>
      </c>
      <c r="D22" s="10" t="s">
        <v>45</v>
      </c>
      <c r="E22" s="10" t="s">
        <v>46</v>
      </c>
      <c r="F22" s="10" t="s">
        <v>45</v>
      </c>
      <c r="G22" s="10" t="s">
        <v>47</v>
      </c>
      <c r="H22" s="10" t="s">
        <v>46</v>
      </c>
      <c r="I22" s="10" t="s">
        <v>47</v>
      </c>
      <c r="J22" s="10" t="s">
        <v>45</v>
      </c>
      <c r="K22" s="10" t="s">
        <v>45</v>
      </c>
      <c r="L22" s="10" t="s">
        <v>46</v>
      </c>
      <c r="M22" s="10" t="s">
        <v>46</v>
      </c>
      <c r="N22" s="10" t="s">
        <v>46</v>
      </c>
      <c r="O22" s="10" t="s">
        <v>46</v>
      </c>
      <c r="P22" s="10" t="s">
        <v>47</v>
      </c>
      <c r="Q22" s="10" t="s">
        <v>45</v>
      </c>
      <c r="R22" s="10" t="s">
        <v>46</v>
      </c>
      <c r="S22" s="10" t="s">
        <v>46</v>
      </c>
    </row>
    <row r="23" spans="1:19" ht="32" x14ac:dyDescent="0.2">
      <c r="A23" s="7" t="s">
        <v>105</v>
      </c>
      <c r="B23" s="8" t="s">
        <v>106</v>
      </c>
      <c r="C23" s="9" t="s">
        <v>107</v>
      </c>
      <c r="D23" s="10" t="s">
        <v>46</v>
      </c>
      <c r="E23" s="10" t="s">
        <v>46</v>
      </c>
      <c r="F23" s="10" t="s">
        <v>46</v>
      </c>
      <c r="G23" s="10" t="s">
        <v>45</v>
      </c>
      <c r="H23" s="10" t="s">
        <v>45</v>
      </c>
      <c r="I23" s="10" t="s">
        <v>45</v>
      </c>
      <c r="J23" s="10" t="s">
        <v>46</v>
      </c>
      <c r="K23" s="10" t="s">
        <v>46</v>
      </c>
      <c r="L23" s="10" t="s">
        <v>46</v>
      </c>
      <c r="M23" s="10" t="s">
        <v>45</v>
      </c>
      <c r="N23" s="10" t="s">
        <v>45</v>
      </c>
      <c r="O23" s="10" t="s">
        <v>46</v>
      </c>
      <c r="P23" s="10" t="s">
        <v>47</v>
      </c>
      <c r="Q23" s="10" t="s">
        <v>46</v>
      </c>
      <c r="R23" s="10" t="s">
        <v>46</v>
      </c>
      <c r="S23" s="10" t="s">
        <v>45</v>
      </c>
    </row>
    <row r="24" spans="1:19" ht="32" x14ac:dyDescent="0.2">
      <c r="A24" s="7" t="s">
        <v>108</v>
      </c>
      <c r="B24" s="8" t="s">
        <v>109</v>
      </c>
      <c r="C24" s="9" t="s">
        <v>110</v>
      </c>
      <c r="D24" s="10" t="s">
        <v>45</v>
      </c>
      <c r="E24" s="10" t="s">
        <v>45</v>
      </c>
      <c r="F24" s="10" t="s">
        <v>45</v>
      </c>
      <c r="G24" s="10" t="s">
        <v>46</v>
      </c>
      <c r="H24" s="10" t="s">
        <v>46</v>
      </c>
      <c r="I24" s="10" t="s">
        <v>46</v>
      </c>
      <c r="J24" s="10" t="s">
        <v>46</v>
      </c>
      <c r="K24" s="10" t="s">
        <v>45</v>
      </c>
      <c r="L24" s="10" t="s">
        <v>46</v>
      </c>
      <c r="M24" s="10" t="s">
        <v>46</v>
      </c>
      <c r="N24" s="10" t="s">
        <v>46</v>
      </c>
      <c r="O24" s="10" t="s">
        <v>46</v>
      </c>
      <c r="P24" s="10" t="s">
        <v>46</v>
      </c>
      <c r="Q24" s="10" t="s">
        <v>45</v>
      </c>
      <c r="R24" s="10" t="s">
        <v>47</v>
      </c>
      <c r="S24" s="10" t="s">
        <v>46</v>
      </c>
    </row>
    <row r="25" spans="1:19" ht="32" x14ac:dyDescent="0.2">
      <c r="A25" s="7" t="s">
        <v>111</v>
      </c>
      <c r="B25" s="8" t="s">
        <v>112</v>
      </c>
      <c r="C25" s="9" t="s">
        <v>113</v>
      </c>
      <c r="D25" s="10" t="s">
        <v>46</v>
      </c>
      <c r="E25" s="10" t="s">
        <v>47</v>
      </c>
      <c r="F25" s="10" t="s">
        <v>46</v>
      </c>
      <c r="G25" s="10" t="s">
        <v>46</v>
      </c>
      <c r="H25" s="10" t="s">
        <v>45</v>
      </c>
      <c r="I25" s="10" t="s">
        <v>45</v>
      </c>
      <c r="J25" s="10" t="s">
        <v>46</v>
      </c>
      <c r="K25" s="10" t="s">
        <v>46</v>
      </c>
      <c r="L25" s="10" t="s">
        <v>46</v>
      </c>
      <c r="M25" s="10" t="s">
        <v>46</v>
      </c>
      <c r="N25" s="10" t="s">
        <v>46</v>
      </c>
      <c r="O25" s="10" t="s">
        <v>46</v>
      </c>
      <c r="P25" s="10" t="s">
        <v>46</v>
      </c>
      <c r="Q25" s="10" t="s">
        <v>46</v>
      </c>
      <c r="R25" s="10" t="s">
        <v>47</v>
      </c>
      <c r="S25" s="10" t="s">
        <v>45</v>
      </c>
    </row>
    <row r="26" spans="1:19" ht="32" x14ac:dyDescent="0.2">
      <c r="A26" s="7" t="s">
        <v>114</v>
      </c>
      <c r="B26" s="8" t="s">
        <v>115</v>
      </c>
      <c r="C26" s="9" t="s">
        <v>116</v>
      </c>
      <c r="D26" s="10" t="s">
        <v>45</v>
      </c>
      <c r="E26" s="10" t="s">
        <v>46</v>
      </c>
      <c r="F26" s="10" t="s">
        <v>45</v>
      </c>
      <c r="G26" s="10" t="s">
        <v>45</v>
      </c>
      <c r="H26" s="10" t="s">
        <v>46</v>
      </c>
      <c r="I26" s="10" t="s">
        <v>47</v>
      </c>
      <c r="J26" s="10" t="s">
        <v>45</v>
      </c>
      <c r="K26" s="10" t="s">
        <v>47</v>
      </c>
      <c r="L26" s="10" t="s">
        <v>46</v>
      </c>
      <c r="M26" s="10" t="s">
        <v>45</v>
      </c>
      <c r="N26" s="10" t="s">
        <v>46</v>
      </c>
      <c r="O26" s="10" t="s">
        <v>46</v>
      </c>
      <c r="P26" s="10" t="s">
        <v>47</v>
      </c>
      <c r="Q26" s="10" t="s">
        <v>46</v>
      </c>
      <c r="R26" s="10" t="s">
        <v>46</v>
      </c>
      <c r="S26" s="10" t="s">
        <v>46</v>
      </c>
    </row>
    <row r="27" spans="1:19" ht="32" x14ac:dyDescent="0.2">
      <c r="A27" s="7" t="s">
        <v>117</v>
      </c>
      <c r="B27" s="8" t="s">
        <v>118</v>
      </c>
      <c r="C27" s="9" t="s">
        <v>119</v>
      </c>
      <c r="D27" s="10" t="s">
        <v>46</v>
      </c>
      <c r="E27" s="10" t="s">
        <v>46</v>
      </c>
      <c r="F27" s="10" t="s">
        <v>46</v>
      </c>
      <c r="G27" s="10" t="s">
        <v>46</v>
      </c>
      <c r="H27" s="10" t="s">
        <v>45</v>
      </c>
      <c r="I27" s="10" t="s">
        <v>45</v>
      </c>
      <c r="J27" s="10" t="s">
        <v>46</v>
      </c>
      <c r="K27" s="10" t="s">
        <v>46</v>
      </c>
      <c r="L27" s="10" t="s">
        <v>46</v>
      </c>
      <c r="M27" s="10" t="s">
        <v>46</v>
      </c>
      <c r="N27" s="10" t="s">
        <v>45</v>
      </c>
      <c r="O27" s="10" t="s">
        <v>46</v>
      </c>
      <c r="P27" s="10" t="s">
        <v>46</v>
      </c>
      <c r="Q27" s="10" t="s">
        <v>46</v>
      </c>
      <c r="R27" s="10" t="s">
        <v>46</v>
      </c>
      <c r="S27" s="10" t="s">
        <v>47</v>
      </c>
    </row>
    <row r="28" spans="1:19" ht="32" x14ac:dyDescent="0.2">
      <c r="A28" s="7" t="s">
        <v>120</v>
      </c>
      <c r="B28" s="8" t="s">
        <v>121</v>
      </c>
      <c r="C28" s="9" t="s">
        <v>122</v>
      </c>
      <c r="D28" s="10" t="s">
        <v>46</v>
      </c>
      <c r="E28" s="10" t="s">
        <v>46</v>
      </c>
      <c r="F28" s="10" t="s">
        <v>45</v>
      </c>
      <c r="G28" s="10" t="s">
        <v>45</v>
      </c>
      <c r="H28" s="10" t="s">
        <v>46</v>
      </c>
      <c r="I28" s="10" t="s">
        <v>45</v>
      </c>
      <c r="J28" s="10" t="s">
        <v>45</v>
      </c>
      <c r="K28" s="10" t="s">
        <v>47</v>
      </c>
      <c r="L28" s="10" t="s">
        <v>47</v>
      </c>
      <c r="M28" s="10" t="s">
        <v>45</v>
      </c>
      <c r="N28" s="10" t="s">
        <v>46</v>
      </c>
      <c r="O28" s="10" t="s">
        <v>46</v>
      </c>
      <c r="P28" s="10" t="s">
        <v>45</v>
      </c>
      <c r="Q28" s="10" t="s">
        <v>47</v>
      </c>
      <c r="R28" s="10" t="s">
        <v>46</v>
      </c>
      <c r="S28" s="10" t="s">
        <v>46</v>
      </c>
    </row>
    <row r="29" spans="1:19" ht="32" x14ac:dyDescent="0.2">
      <c r="A29" s="7" t="s">
        <v>123</v>
      </c>
      <c r="B29" s="8" t="s">
        <v>124</v>
      </c>
      <c r="C29" s="9" t="s">
        <v>125</v>
      </c>
      <c r="D29" s="10" t="s">
        <v>45</v>
      </c>
      <c r="E29" s="10" t="s">
        <v>46</v>
      </c>
      <c r="F29" s="10" t="s">
        <v>45</v>
      </c>
      <c r="G29" s="10" t="s">
        <v>47</v>
      </c>
      <c r="H29" s="10" t="s">
        <v>46</v>
      </c>
      <c r="I29" s="10" t="s">
        <v>46</v>
      </c>
      <c r="J29" s="10" t="s">
        <v>45</v>
      </c>
      <c r="K29" s="10" t="s">
        <v>46</v>
      </c>
      <c r="L29" s="10" t="s">
        <v>46</v>
      </c>
      <c r="M29" s="10" t="s">
        <v>46</v>
      </c>
      <c r="N29" s="10" t="s">
        <v>46</v>
      </c>
      <c r="O29" s="10" t="s">
        <v>46</v>
      </c>
      <c r="P29" s="10" t="s">
        <v>46</v>
      </c>
      <c r="Q29" s="10" t="s">
        <v>47</v>
      </c>
      <c r="R29" s="10" t="s">
        <v>46</v>
      </c>
      <c r="S29" s="10" t="s">
        <v>46</v>
      </c>
    </row>
    <row r="30" spans="1:19" ht="32" x14ac:dyDescent="0.2">
      <c r="A30" s="7" t="s">
        <v>126</v>
      </c>
      <c r="B30" s="8" t="s">
        <v>127</v>
      </c>
      <c r="C30" s="9" t="s">
        <v>128</v>
      </c>
      <c r="D30" s="10" t="s">
        <v>46</v>
      </c>
      <c r="E30" s="10" t="s">
        <v>46</v>
      </c>
      <c r="F30" s="10" t="s">
        <v>46</v>
      </c>
      <c r="G30" s="10" t="s">
        <v>46</v>
      </c>
      <c r="H30" s="10" t="s">
        <v>45</v>
      </c>
      <c r="I30" s="10" t="s">
        <v>46</v>
      </c>
      <c r="J30" s="10" t="s">
        <v>46</v>
      </c>
      <c r="K30" s="10" t="s">
        <v>46</v>
      </c>
      <c r="L30" s="10" t="s">
        <v>45</v>
      </c>
      <c r="M30" s="10" t="s">
        <v>46</v>
      </c>
      <c r="N30" s="10" t="s">
        <v>47</v>
      </c>
      <c r="O30" s="10" t="s">
        <v>45</v>
      </c>
      <c r="P30" s="10" t="s">
        <v>46</v>
      </c>
      <c r="Q30" s="10" t="s">
        <v>46</v>
      </c>
      <c r="R30" s="10" t="s">
        <v>46</v>
      </c>
      <c r="S30" s="10" t="s">
        <v>45</v>
      </c>
    </row>
    <row r="31" spans="1:19" ht="32" x14ac:dyDescent="0.2">
      <c r="A31" s="7" t="s">
        <v>129</v>
      </c>
      <c r="B31" s="8" t="s">
        <v>130</v>
      </c>
      <c r="C31" s="9" t="s">
        <v>131</v>
      </c>
      <c r="D31" s="10" t="s">
        <v>45</v>
      </c>
      <c r="E31" s="10" t="s">
        <v>47</v>
      </c>
      <c r="F31" s="10" t="s">
        <v>45</v>
      </c>
      <c r="G31" s="10" t="s">
        <v>47</v>
      </c>
      <c r="H31" s="10" t="s">
        <v>46</v>
      </c>
      <c r="I31" s="10" t="s">
        <v>46</v>
      </c>
      <c r="J31" s="10" t="s">
        <v>45</v>
      </c>
      <c r="K31" s="10" t="s">
        <v>45</v>
      </c>
      <c r="L31" s="10" t="s">
        <v>46</v>
      </c>
      <c r="M31" s="10" t="s">
        <v>46</v>
      </c>
      <c r="N31" s="10" t="s">
        <v>46</v>
      </c>
      <c r="O31" s="10" t="s">
        <v>46</v>
      </c>
      <c r="P31" s="10" t="s">
        <v>47</v>
      </c>
      <c r="Q31" s="10" t="s">
        <v>45</v>
      </c>
      <c r="R31" s="10" t="s">
        <v>46</v>
      </c>
      <c r="S31" s="10" t="s">
        <v>46</v>
      </c>
    </row>
    <row r="32" spans="1:19" ht="32" x14ac:dyDescent="0.2">
      <c r="A32" s="7" t="s">
        <v>132</v>
      </c>
      <c r="B32" s="8" t="s">
        <v>133</v>
      </c>
      <c r="C32" s="9" t="s">
        <v>134</v>
      </c>
      <c r="D32" s="10" t="s">
        <v>46</v>
      </c>
      <c r="E32" s="10" t="s">
        <v>45</v>
      </c>
      <c r="F32" s="10" t="s">
        <v>46</v>
      </c>
      <c r="G32" s="10" t="s">
        <v>46</v>
      </c>
      <c r="H32" s="10" t="s">
        <v>45</v>
      </c>
      <c r="I32" s="10" t="s">
        <v>46</v>
      </c>
      <c r="J32" s="10" t="s">
        <v>46</v>
      </c>
      <c r="K32" s="10" t="s">
        <v>46</v>
      </c>
      <c r="L32" s="10" t="s">
        <v>46</v>
      </c>
      <c r="M32" s="10" t="s">
        <v>46</v>
      </c>
      <c r="N32" s="10" t="s">
        <v>47</v>
      </c>
      <c r="O32" s="10" t="s">
        <v>47</v>
      </c>
      <c r="P32" s="10" t="s">
        <v>46</v>
      </c>
      <c r="Q32" s="10" t="s">
        <v>46</v>
      </c>
      <c r="R32" s="10" t="s">
        <v>46</v>
      </c>
      <c r="S32" s="10" t="s">
        <v>45</v>
      </c>
    </row>
  </sheetData>
  <conditionalFormatting sqref="D3:S32">
    <cfRule type="cellIs" dxfId="2" priority="1" operator="equal">
      <formula>"O"</formula>
    </cfRule>
    <cfRule type="cellIs" dxfId="1" priority="2" operator="equal">
      <formula>"N"</formula>
    </cfRule>
    <cfRule type="cellIs" dxfId="0" priority="3" operator="equal">
      <formula>"?"</formula>
    </cfRule>
  </conditionalFormatting>
  <dataValidations count="1">
    <dataValidation type="list" allowBlank="1" errorTitle="Valeur invalide" error="Mets O, N ou ?" sqref="D3:S32" xr:uid="{00000000-0002-0000-0100-000000000000}">
      <formula1>"O,N,?"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"/>
  <sheetViews>
    <sheetView workbookViewId="0">
      <pane xSplit="2" ySplit="2" topLeftCell="C1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17" width="22" customWidth="1"/>
    <col min="18" max="20" width="45" customWidth="1"/>
  </cols>
  <sheetData>
    <row r="1" spans="1:20" ht="16" x14ac:dyDescent="0.2">
      <c r="A1" s="4" t="s">
        <v>22</v>
      </c>
      <c r="B1" s="4" t="s">
        <v>135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4" t="s">
        <v>143</v>
      </c>
      <c r="K1" s="4" t="s">
        <v>144</v>
      </c>
      <c r="L1" s="4" t="s">
        <v>145</v>
      </c>
      <c r="M1" s="4" t="s">
        <v>146</v>
      </c>
      <c r="N1" s="4" t="s">
        <v>147</v>
      </c>
      <c r="O1" s="4" t="s">
        <v>148</v>
      </c>
      <c r="P1" s="4" t="s">
        <v>149</v>
      </c>
      <c r="Q1" s="4" t="s">
        <v>150</v>
      </c>
      <c r="R1" s="4" t="s">
        <v>151</v>
      </c>
      <c r="S1" s="4" t="s">
        <v>152</v>
      </c>
      <c r="T1" s="4" t="s">
        <v>153</v>
      </c>
    </row>
    <row r="2" spans="1:20" x14ac:dyDescent="0.2">
      <c r="A2" s="11"/>
      <c r="B2" s="11" t="s">
        <v>154</v>
      </c>
      <c r="C2" s="11" t="s">
        <v>155</v>
      </c>
      <c r="D2" s="11" t="s">
        <v>156</v>
      </c>
      <c r="E2" s="11" t="s">
        <v>157</v>
      </c>
      <c r="F2" s="11" t="s">
        <v>158</v>
      </c>
      <c r="G2" s="11" t="s">
        <v>159</v>
      </c>
      <c r="H2" s="11" t="s">
        <v>160</v>
      </c>
      <c r="I2" s="11" t="s">
        <v>161</v>
      </c>
      <c r="J2" s="11" t="s">
        <v>162</v>
      </c>
      <c r="K2" s="11" t="s">
        <v>163</v>
      </c>
      <c r="L2" s="11" t="s">
        <v>164</v>
      </c>
      <c r="M2" s="11" t="s">
        <v>165</v>
      </c>
      <c r="N2" s="11" t="s">
        <v>166</v>
      </c>
      <c r="O2" s="11" t="s">
        <v>167</v>
      </c>
      <c r="P2" s="11" t="s">
        <v>154</v>
      </c>
      <c r="Q2" s="11" t="s">
        <v>168</v>
      </c>
      <c r="R2" s="11" t="s">
        <v>169</v>
      </c>
      <c r="S2" s="11" t="s">
        <v>170</v>
      </c>
      <c r="T2" s="11" t="s">
        <v>171</v>
      </c>
    </row>
    <row r="3" spans="1:20" ht="48" x14ac:dyDescent="0.2">
      <c r="A3" s="12" t="s">
        <v>25</v>
      </c>
      <c r="B3" s="12" t="s">
        <v>172</v>
      </c>
      <c r="C3" s="8" t="s">
        <v>173</v>
      </c>
      <c r="D3" s="8" t="s">
        <v>174</v>
      </c>
      <c r="E3" s="8" t="s">
        <v>175</v>
      </c>
      <c r="F3" s="8" t="s">
        <v>176</v>
      </c>
      <c r="G3" s="8" t="s">
        <v>177</v>
      </c>
      <c r="H3" s="8" t="s">
        <v>178</v>
      </c>
      <c r="I3" s="8" t="s">
        <v>179</v>
      </c>
      <c r="J3" s="8" t="s">
        <v>180</v>
      </c>
      <c r="K3" s="8" t="s">
        <v>181</v>
      </c>
      <c r="L3" s="8" t="s">
        <v>182</v>
      </c>
      <c r="M3" s="8" t="s">
        <v>183</v>
      </c>
      <c r="N3" s="8" t="s">
        <v>184</v>
      </c>
      <c r="O3" s="8" t="s">
        <v>185</v>
      </c>
      <c r="P3" s="8" t="s">
        <v>172</v>
      </c>
      <c r="Q3" s="8" t="s">
        <v>186</v>
      </c>
      <c r="R3" s="8" t="s">
        <v>187</v>
      </c>
      <c r="S3" s="8" t="s">
        <v>188</v>
      </c>
      <c r="T3" s="8" t="s">
        <v>189</v>
      </c>
    </row>
    <row r="4" spans="1:20" ht="48" x14ac:dyDescent="0.2">
      <c r="A4" s="12" t="s">
        <v>26</v>
      </c>
      <c r="B4" s="12" t="s">
        <v>190</v>
      </c>
      <c r="C4" s="8" t="s">
        <v>191</v>
      </c>
      <c r="D4" s="8" t="s">
        <v>192</v>
      </c>
      <c r="E4" s="8" t="s">
        <v>193</v>
      </c>
      <c r="F4" s="8" t="s">
        <v>194</v>
      </c>
      <c r="G4" s="8" t="s">
        <v>195</v>
      </c>
      <c r="H4" s="8" t="s">
        <v>178</v>
      </c>
      <c r="I4" s="8" t="s">
        <v>179</v>
      </c>
      <c r="J4" s="8" t="s">
        <v>196</v>
      </c>
      <c r="K4" s="8" t="s">
        <v>181</v>
      </c>
      <c r="L4" s="8" t="s">
        <v>197</v>
      </c>
      <c r="M4" s="8" t="s">
        <v>183</v>
      </c>
      <c r="N4" s="8" t="s">
        <v>198</v>
      </c>
      <c r="O4" s="8" t="s">
        <v>199</v>
      </c>
      <c r="P4" s="8" t="s">
        <v>200</v>
      </c>
      <c r="Q4" s="8" t="s">
        <v>201</v>
      </c>
      <c r="R4" s="8" t="s">
        <v>202</v>
      </c>
      <c r="S4" s="8" t="s">
        <v>203</v>
      </c>
      <c r="T4" s="8" t="s">
        <v>204</v>
      </c>
    </row>
    <row r="5" spans="1:20" ht="48" x14ac:dyDescent="0.2">
      <c r="A5" s="12" t="s">
        <v>27</v>
      </c>
      <c r="B5" s="12" t="s">
        <v>205</v>
      </c>
      <c r="C5" s="8" t="s">
        <v>206</v>
      </c>
      <c r="D5" s="8" t="s">
        <v>174</v>
      </c>
      <c r="E5" s="8" t="s">
        <v>207</v>
      </c>
      <c r="F5" s="8" t="s">
        <v>208</v>
      </c>
      <c r="G5" s="8" t="s">
        <v>209</v>
      </c>
      <c r="H5" s="8" t="s">
        <v>210</v>
      </c>
      <c r="I5" s="8" t="s">
        <v>179</v>
      </c>
      <c r="J5" s="8" t="s">
        <v>211</v>
      </c>
      <c r="K5" s="8" t="s">
        <v>181</v>
      </c>
      <c r="L5" s="8" t="s">
        <v>212</v>
      </c>
      <c r="M5" s="8" t="s">
        <v>183</v>
      </c>
      <c r="N5" s="8" t="s">
        <v>213</v>
      </c>
      <c r="O5" s="8" t="s">
        <v>214</v>
      </c>
      <c r="P5" s="8" t="s">
        <v>205</v>
      </c>
      <c r="Q5" s="8" t="s">
        <v>215</v>
      </c>
      <c r="R5" s="8" t="s">
        <v>202</v>
      </c>
      <c r="S5" s="8" t="s">
        <v>216</v>
      </c>
      <c r="T5" s="8" t="s">
        <v>217</v>
      </c>
    </row>
    <row r="6" spans="1:20" ht="48" x14ac:dyDescent="0.2">
      <c r="A6" s="12" t="s">
        <v>28</v>
      </c>
      <c r="B6" s="12" t="s">
        <v>218</v>
      </c>
      <c r="C6" s="8" t="s">
        <v>173</v>
      </c>
      <c r="D6" s="8" t="s">
        <v>174</v>
      </c>
      <c r="E6" s="8" t="s">
        <v>175</v>
      </c>
      <c r="F6" s="8" t="s">
        <v>219</v>
      </c>
      <c r="G6" s="8" t="s">
        <v>209</v>
      </c>
      <c r="H6" s="8" t="s">
        <v>220</v>
      </c>
      <c r="I6" s="8" t="s">
        <v>179</v>
      </c>
      <c r="J6" s="8" t="s">
        <v>221</v>
      </c>
      <c r="K6" s="8" t="s">
        <v>181</v>
      </c>
      <c r="L6" s="8" t="s">
        <v>222</v>
      </c>
      <c r="M6" s="8" t="s">
        <v>183</v>
      </c>
      <c r="N6" s="8" t="s">
        <v>223</v>
      </c>
      <c r="O6" s="8" t="s">
        <v>224</v>
      </c>
      <c r="P6" s="8" t="s">
        <v>225</v>
      </c>
      <c r="Q6" s="8" t="s">
        <v>226</v>
      </c>
      <c r="R6" s="8" t="s">
        <v>227</v>
      </c>
      <c r="S6" s="8" t="s">
        <v>228</v>
      </c>
      <c r="T6" s="8" t="s">
        <v>229</v>
      </c>
    </row>
    <row r="7" spans="1:20" ht="48" x14ac:dyDescent="0.2">
      <c r="A7" s="12" t="s">
        <v>29</v>
      </c>
      <c r="B7" s="12" t="s">
        <v>230</v>
      </c>
      <c r="C7" s="8" t="s">
        <v>173</v>
      </c>
      <c r="D7" s="8" t="s">
        <v>174</v>
      </c>
      <c r="E7" s="8" t="s">
        <v>175</v>
      </c>
      <c r="F7" s="8" t="s">
        <v>231</v>
      </c>
      <c r="G7" s="8" t="s">
        <v>209</v>
      </c>
      <c r="H7" s="8" t="s">
        <v>232</v>
      </c>
      <c r="I7" s="8" t="s">
        <v>179</v>
      </c>
      <c r="J7" s="8" t="s">
        <v>233</v>
      </c>
      <c r="K7" s="8" t="s">
        <v>181</v>
      </c>
      <c r="L7" s="8" t="s">
        <v>234</v>
      </c>
      <c r="M7" s="8" t="s">
        <v>183</v>
      </c>
      <c r="N7" s="8" t="s">
        <v>235</v>
      </c>
      <c r="O7" s="8" t="s">
        <v>236</v>
      </c>
      <c r="P7" s="8" t="s">
        <v>230</v>
      </c>
      <c r="Q7" s="8" t="s">
        <v>237</v>
      </c>
      <c r="R7" s="8" t="s">
        <v>238</v>
      </c>
      <c r="S7" s="8" t="s">
        <v>239</v>
      </c>
      <c r="T7" s="8" t="s">
        <v>240</v>
      </c>
    </row>
    <row r="8" spans="1:20" ht="48" x14ac:dyDescent="0.2">
      <c r="A8" s="12" t="s">
        <v>30</v>
      </c>
      <c r="B8" s="12" t="s">
        <v>241</v>
      </c>
      <c r="C8" s="8" t="s">
        <v>173</v>
      </c>
      <c r="D8" s="8" t="s">
        <v>174</v>
      </c>
      <c r="E8" s="8" t="s">
        <v>207</v>
      </c>
      <c r="F8" s="8" t="s">
        <v>208</v>
      </c>
      <c r="G8" s="8" t="s">
        <v>177</v>
      </c>
      <c r="H8" s="8" t="s">
        <v>220</v>
      </c>
      <c r="I8" s="8" t="s">
        <v>179</v>
      </c>
      <c r="J8" s="8" t="s">
        <v>211</v>
      </c>
      <c r="K8" s="8" t="s">
        <v>181</v>
      </c>
      <c r="L8" s="8" t="s">
        <v>242</v>
      </c>
      <c r="M8" s="8" t="s">
        <v>183</v>
      </c>
      <c r="N8" s="8" t="s">
        <v>243</v>
      </c>
      <c r="O8" s="8" t="s">
        <v>244</v>
      </c>
      <c r="P8" s="8" t="s">
        <v>245</v>
      </c>
      <c r="Q8" s="8" t="s">
        <v>246</v>
      </c>
      <c r="R8" s="8" t="s">
        <v>202</v>
      </c>
      <c r="S8" s="8" t="s">
        <v>247</v>
      </c>
      <c r="T8" s="8" t="s">
        <v>248</v>
      </c>
    </row>
    <row r="9" spans="1:20" ht="48" x14ac:dyDescent="0.2">
      <c r="A9" s="12" t="s">
        <v>31</v>
      </c>
      <c r="B9" s="12" t="s">
        <v>249</v>
      </c>
      <c r="C9" s="8" t="s">
        <v>250</v>
      </c>
      <c r="D9" s="8" t="s">
        <v>174</v>
      </c>
      <c r="E9" s="8" t="s">
        <v>207</v>
      </c>
      <c r="F9" s="8" t="s">
        <v>208</v>
      </c>
      <c r="G9" s="8" t="s">
        <v>177</v>
      </c>
      <c r="H9" s="8" t="s">
        <v>220</v>
      </c>
      <c r="I9" s="8" t="s">
        <v>179</v>
      </c>
      <c r="J9" s="8" t="s">
        <v>211</v>
      </c>
      <c r="K9" s="8" t="s">
        <v>181</v>
      </c>
      <c r="L9" s="8" t="s">
        <v>242</v>
      </c>
      <c r="M9" s="8" t="s">
        <v>183</v>
      </c>
      <c r="N9" s="8" t="s">
        <v>243</v>
      </c>
      <c r="O9" s="8" t="s">
        <v>251</v>
      </c>
      <c r="P9" s="8" t="s">
        <v>249</v>
      </c>
      <c r="Q9" s="8" t="s">
        <v>252</v>
      </c>
      <c r="R9" s="8" t="s">
        <v>202</v>
      </c>
      <c r="S9" s="8" t="s">
        <v>253</v>
      </c>
      <c r="T9" s="8" t="s">
        <v>254</v>
      </c>
    </row>
    <row r="10" spans="1:20" ht="48" x14ac:dyDescent="0.2">
      <c r="A10" s="12" t="s">
        <v>32</v>
      </c>
      <c r="B10" s="12" t="s">
        <v>255</v>
      </c>
      <c r="C10" s="8" t="s">
        <v>256</v>
      </c>
      <c r="D10" s="8" t="s">
        <v>257</v>
      </c>
      <c r="E10" s="8" t="s">
        <v>175</v>
      </c>
      <c r="F10" s="8" t="s">
        <v>176</v>
      </c>
      <c r="G10" s="8" t="s">
        <v>258</v>
      </c>
      <c r="H10" s="8" t="s">
        <v>220</v>
      </c>
      <c r="I10" s="8" t="s">
        <v>179</v>
      </c>
      <c r="J10" s="8" t="s">
        <v>259</v>
      </c>
      <c r="K10" s="8" t="s">
        <v>181</v>
      </c>
      <c r="L10" s="8" t="s">
        <v>242</v>
      </c>
      <c r="M10" s="8" t="s">
        <v>183</v>
      </c>
      <c r="N10" s="8" t="s">
        <v>260</v>
      </c>
      <c r="O10" s="8" t="s">
        <v>261</v>
      </c>
      <c r="P10" s="8" t="s">
        <v>262</v>
      </c>
      <c r="Q10" s="8" t="s">
        <v>263</v>
      </c>
      <c r="R10" s="8" t="s">
        <v>202</v>
      </c>
      <c r="S10" s="8" t="s">
        <v>264</v>
      </c>
      <c r="T10" s="8" t="s">
        <v>265</v>
      </c>
    </row>
    <row r="11" spans="1:20" ht="48" x14ac:dyDescent="0.2">
      <c r="A11" s="12" t="s">
        <v>33</v>
      </c>
      <c r="B11" s="12" t="s">
        <v>266</v>
      </c>
      <c r="C11" s="8" t="s">
        <v>267</v>
      </c>
      <c r="D11" s="8" t="s">
        <v>174</v>
      </c>
      <c r="E11" s="8" t="s">
        <v>175</v>
      </c>
      <c r="F11" s="8" t="s">
        <v>176</v>
      </c>
      <c r="G11" s="8" t="s">
        <v>209</v>
      </c>
      <c r="H11" s="8" t="s">
        <v>210</v>
      </c>
      <c r="I11" s="8" t="s">
        <v>179</v>
      </c>
      <c r="J11" s="8" t="s">
        <v>268</v>
      </c>
      <c r="K11" s="8" t="s">
        <v>181</v>
      </c>
      <c r="L11" s="8" t="s">
        <v>269</v>
      </c>
      <c r="M11" s="8" t="s">
        <v>183</v>
      </c>
      <c r="N11" s="8" t="s">
        <v>270</v>
      </c>
      <c r="O11" s="8" t="s">
        <v>271</v>
      </c>
      <c r="P11" s="8" t="s">
        <v>266</v>
      </c>
      <c r="Q11" s="8" t="s">
        <v>272</v>
      </c>
      <c r="R11" s="8" t="s">
        <v>273</v>
      </c>
      <c r="S11" s="8" t="s">
        <v>274</v>
      </c>
      <c r="T11" s="8" t="s">
        <v>275</v>
      </c>
    </row>
    <row r="12" spans="1:20" ht="48" x14ac:dyDescent="0.2">
      <c r="A12" s="12" t="s">
        <v>34</v>
      </c>
      <c r="B12" s="12" t="s">
        <v>276</v>
      </c>
      <c r="C12" s="8" t="s">
        <v>277</v>
      </c>
      <c r="D12" s="8" t="s">
        <v>174</v>
      </c>
      <c r="E12" s="8" t="s">
        <v>207</v>
      </c>
      <c r="F12" s="8" t="s">
        <v>208</v>
      </c>
      <c r="G12" s="8" t="s">
        <v>278</v>
      </c>
      <c r="H12" s="8" t="s">
        <v>210</v>
      </c>
      <c r="I12" s="8" t="s">
        <v>179</v>
      </c>
      <c r="J12" s="8" t="s">
        <v>279</v>
      </c>
      <c r="K12" s="8" t="s">
        <v>181</v>
      </c>
      <c r="L12" s="8" t="s">
        <v>269</v>
      </c>
      <c r="M12" s="8" t="s">
        <v>183</v>
      </c>
      <c r="N12" s="8" t="s">
        <v>270</v>
      </c>
      <c r="O12" s="8" t="s">
        <v>280</v>
      </c>
      <c r="P12" s="8" t="s">
        <v>281</v>
      </c>
      <c r="Q12" s="8" t="s">
        <v>282</v>
      </c>
      <c r="R12" s="8" t="s">
        <v>283</v>
      </c>
      <c r="S12" s="8" t="s">
        <v>284</v>
      </c>
      <c r="T12" s="8" t="s">
        <v>285</v>
      </c>
    </row>
    <row r="13" spans="1:20" ht="48" x14ac:dyDescent="0.2">
      <c r="A13" s="12" t="s">
        <v>35</v>
      </c>
      <c r="B13" s="12" t="s">
        <v>286</v>
      </c>
      <c r="C13" s="8" t="s">
        <v>287</v>
      </c>
      <c r="D13" s="8" t="s">
        <v>174</v>
      </c>
      <c r="E13" s="8" t="s">
        <v>175</v>
      </c>
      <c r="F13" s="8" t="s">
        <v>176</v>
      </c>
      <c r="G13" s="8" t="s">
        <v>258</v>
      </c>
      <c r="H13" s="8" t="s">
        <v>288</v>
      </c>
      <c r="I13" s="8" t="s">
        <v>179</v>
      </c>
      <c r="J13" s="8" t="s">
        <v>289</v>
      </c>
      <c r="K13" s="8" t="s">
        <v>181</v>
      </c>
      <c r="L13" s="8" t="s">
        <v>290</v>
      </c>
      <c r="M13" s="8" t="s">
        <v>183</v>
      </c>
      <c r="N13" s="8" t="s">
        <v>291</v>
      </c>
      <c r="O13" s="8" t="s">
        <v>292</v>
      </c>
      <c r="P13" s="8" t="s">
        <v>286</v>
      </c>
      <c r="Q13" s="8" t="s">
        <v>293</v>
      </c>
      <c r="R13" s="8" t="s">
        <v>294</v>
      </c>
      <c r="S13" s="8" t="s">
        <v>295</v>
      </c>
      <c r="T13" s="8" t="s">
        <v>296</v>
      </c>
    </row>
    <row r="14" spans="1:20" ht="64" x14ac:dyDescent="0.2">
      <c r="A14" s="12" t="s">
        <v>36</v>
      </c>
      <c r="B14" s="12" t="s">
        <v>297</v>
      </c>
      <c r="C14" s="8" t="s">
        <v>298</v>
      </c>
      <c r="D14" s="8" t="s">
        <v>174</v>
      </c>
      <c r="E14" s="8" t="s">
        <v>175</v>
      </c>
      <c r="F14" s="8" t="s">
        <v>176</v>
      </c>
      <c r="G14" s="8" t="s">
        <v>209</v>
      </c>
      <c r="H14" s="8" t="s">
        <v>299</v>
      </c>
      <c r="I14" s="8" t="s">
        <v>179</v>
      </c>
      <c r="J14" s="8" t="s">
        <v>300</v>
      </c>
      <c r="K14" s="8" t="s">
        <v>181</v>
      </c>
      <c r="L14" s="8" t="s">
        <v>301</v>
      </c>
      <c r="M14" s="8" t="s">
        <v>183</v>
      </c>
      <c r="N14" s="8" t="s">
        <v>302</v>
      </c>
      <c r="O14" s="8" t="s">
        <v>303</v>
      </c>
      <c r="P14" s="8" t="s">
        <v>304</v>
      </c>
      <c r="Q14" s="8" t="s">
        <v>305</v>
      </c>
      <c r="R14" s="8" t="s">
        <v>306</v>
      </c>
      <c r="S14" s="8" t="s">
        <v>307</v>
      </c>
      <c r="T14" s="8" t="s">
        <v>308</v>
      </c>
    </row>
    <row r="15" spans="1:20" ht="48" x14ac:dyDescent="0.2">
      <c r="A15" s="12" t="s">
        <v>37</v>
      </c>
      <c r="B15" s="12" t="s">
        <v>309</v>
      </c>
      <c r="C15" s="8" t="s">
        <v>310</v>
      </c>
      <c r="D15" s="8" t="s">
        <v>174</v>
      </c>
      <c r="E15" s="8" t="s">
        <v>175</v>
      </c>
      <c r="F15" s="8" t="s">
        <v>176</v>
      </c>
      <c r="G15" s="8" t="s">
        <v>177</v>
      </c>
      <c r="H15" s="8" t="s">
        <v>220</v>
      </c>
      <c r="I15" s="8" t="s">
        <v>179</v>
      </c>
      <c r="J15" s="8" t="s">
        <v>211</v>
      </c>
      <c r="K15" s="8" t="s">
        <v>181</v>
      </c>
      <c r="L15" s="8" t="s">
        <v>242</v>
      </c>
      <c r="M15" s="8" t="s">
        <v>183</v>
      </c>
      <c r="N15" s="8" t="s">
        <v>311</v>
      </c>
      <c r="O15" s="8" t="s">
        <v>312</v>
      </c>
      <c r="P15" s="8" t="s">
        <v>313</v>
      </c>
      <c r="Q15" s="8" t="s">
        <v>314</v>
      </c>
      <c r="R15" s="8" t="s">
        <v>202</v>
      </c>
      <c r="S15" s="8" t="s">
        <v>315</v>
      </c>
      <c r="T15" s="8" t="s">
        <v>316</v>
      </c>
    </row>
    <row r="16" spans="1:20" ht="48" x14ac:dyDescent="0.2">
      <c r="A16" s="12" t="s">
        <v>38</v>
      </c>
      <c r="B16" s="12" t="s">
        <v>317</v>
      </c>
      <c r="C16" s="8" t="s">
        <v>250</v>
      </c>
      <c r="D16" s="8" t="s">
        <v>174</v>
      </c>
      <c r="E16" s="8" t="s">
        <v>175</v>
      </c>
      <c r="F16" s="8" t="s">
        <v>176</v>
      </c>
      <c r="G16" s="8" t="s">
        <v>177</v>
      </c>
      <c r="H16" s="8" t="s">
        <v>220</v>
      </c>
      <c r="I16" s="8" t="s">
        <v>179</v>
      </c>
      <c r="J16" s="8" t="s">
        <v>211</v>
      </c>
      <c r="K16" s="8" t="s">
        <v>181</v>
      </c>
      <c r="L16" s="8" t="s">
        <v>242</v>
      </c>
      <c r="M16" s="8" t="s">
        <v>183</v>
      </c>
      <c r="N16" s="8" t="s">
        <v>311</v>
      </c>
      <c r="O16" s="8" t="s">
        <v>318</v>
      </c>
      <c r="P16" s="8" t="s">
        <v>319</v>
      </c>
      <c r="Q16" s="8" t="s">
        <v>320</v>
      </c>
      <c r="R16" s="8" t="s">
        <v>202</v>
      </c>
      <c r="S16" s="8" t="s">
        <v>321</v>
      </c>
      <c r="T16" s="8" t="s">
        <v>322</v>
      </c>
    </row>
    <row r="17" spans="1:20" ht="48" x14ac:dyDescent="0.2">
      <c r="A17" s="12" t="s">
        <v>39</v>
      </c>
      <c r="B17" s="12" t="s">
        <v>323</v>
      </c>
      <c r="C17" s="8" t="s">
        <v>250</v>
      </c>
      <c r="D17" s="8" t="s">
        <v>174</v>
      </c>
      <c r="E17" s="8" t="s">
        <v>175</v>
      </c>
      <c r="F17" s="8" t="s">
        <v>176</v>
      </c>
      <c r="G17" s="8" t="s">
        <v>209</v>
      </c>
      <c r="H17" s="8" t="s">
        <v>324</v>
      </c>
      <c r="I17" s="8" t="s">
        <v>179</v>
      </c>
      <c r="J17" s="8" t="s">
        <v>300</v>
      </c>
      <c r="K17" s="8" t="s">
        <v>181</v>
      </c>
      <c r="L17" s="8" t="s">
        <v>301</v>
      </c>
      <c r="M17" s="8" t="s">
        <v>183</v>
      </c>
      <c r="N17" s="8" t="s">
        <v>325</v>
      </c>
      <c r="O17" s="8" t="s">
        <v>326</v>
      </c>
      <c r="P17" s="8" t="s">
        <v>323</v>
      </c>
      <c r="Q17" s="8" t="s">
        <v>327</v>
      </c>
      <c r="R17" s="8" t="s">
        <v>306</v>
      </c>
      <c r="S17" s="8" t="s">
        <v>328</v>
      </c>
      <c r="T17" s="8" t="s">
        <v>329</v>
      </c>
    </row>
    <row r="18" spans="1:20" ht="48" x14ac:dyDescent="0.2">
      <c r="A18" s="12" t="s">
        <v>40</v>
      </c>
      <c r="B18" s="12" t="s">
        <v>330</v>
      </c>
      <c r="C18" s="8" t="s">
        <v>250</v>
      </c>
      <c r="D18" s="8" t="s">
        <v>174</v>
      </c>
      <c r="E18" s="8" t="s">
        <v>175</v>
      </c>
      <c r="F18" s="8" t="s">
        <v>176</v>
      </c>
      <c r="G18" s="8" t="s">
        <v>209</v>
      </c>
      <c r="H18" s="8" t="s">
        <v>324</v>
      </c>
      <c r="I18" s="8" t="s">
        <v>179</v>
      </c>
      <c r="J18" s="8" t="s">
        <v>331</v>
      </c>
      <c r="K18" s="8" t="s">
        <v>181</v>
      </c>
      <c r="L18" s="8" t="s">
        <v>332</v>
      </c>
      <c r="M18" s="8" t="s">
        <v>183</v>
      </c>
      <c r="N18" s="8" t="s">
        <v>325</v>
      </c>
      <c r="O18" s="8" t="s">
        <v>333</v>
      </c>
      <c r="P18" s="8" t="s">
        <v>330</v>
      </c>
      <c r="Q18" s="8" t="s">
        <v>334</v>
      </c>
      <c r="R18" s="8" t="s">
        <v>335</v>
      </c>
      <c r="S18" s="8" t="s">
        <v>336</v>
      </c>
      <c r="T18" s="8" t="s">
        <v>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/>
  </sheetViews>
  <sheetFormatPr baseColWidth="10" defaultColWidth="8.83203125" defaultRowHeight="15" x14ac:dyDescent="0.2"/>
  <cols>
    <col min="1" max="1" width="38" customWidth="1"/>
    <col min="2" max="2" width="45" customWidth="1"/>
    <col min="3" max="3" width="80" customWidth="1"/>
    <col min="4" max="4" width="60" customWidth="1"/>
  </cols>
  <sheetData>
    <row r="1" spans="1:4" ht="16" x14ac:dyDescent="0.2">
      <c r="A1" s="13" t="s">
        <v>338</v>
      </c>
      <c r="B1" s="13" t="s">
        <v>339</v>
      </c>
      <c r="C1" s="13" t="s">
        <v>340</v>
      </c>
      <c r="D1" s="13" t="s">
        <v>341</v>
      </c>
    </row>
    <row r="2" spans="1:4" ht="48" x14ac:dyDescent="0.2">
      <c r="A2" s="14" t="s">
        <v>342</v>
      </c>
      <c r="B2" s="14" t="s">
        <v>343</v>
      </c>
      <c r="C2" s="14" t="s">
        <v>344</v>
      </c>
      <c r="D2" s="14" t="s">
        <v>345</v>
      </c>
    </row>
    <row r="3" spans="1:4" ht="32" x14ac:dyDescent="0.2">
      <c r="A3" s="14" t="s">
        <v>346</v>
      </c>
      <c r="B3" s="14" t="s">
        <v>347</v>
      </c>
      <c r="C3" s="14" t="s">
        <v>348</v>
      </c>
      <c r="D3" s="14" t="s">
        <v>349</v>
      </c>
    </row>
    <row r="4" spans="1:4" ht="32" x14ac:dyDescent="0.2">
      <c r="A4" s="14" t="s">
        <v>350</v>
      </c>
      <c r="B4" s="14" t="s">
        <v>255</v>
      </c>
      <c r="C4" s="14" t="s">
        <v>351</v>
      </c>
      <c r="D4" s="14" t="s">
        <v>352</v>
      </c>
    </row>
    <row r="5" spans="1:4" ht="32" x14ac:dyDescent="0.2">
      <c r="A5" s="14" t="s">
        <v>353</v>
      </c>
      <c r="B5" s="14" t="s">
        <v>354</v>
      </c>
      <c r="C5" s="14" t="s">
        <v>355</v>
      </c>
      <c r="D5" s="14" t="s">
        <v>356</v>
      </c>
    </row>
    <row r="6" spans="1:4" ht="32" x14ac:dyDescent="0.2">
      <c r="A6" s="14" t="s">
        <v>357</v>
      </c>
      <c r="B6" s="14" t="s">
        <v>200</v>
      </c>
      <c r="C6" s="14" t="s">
        <v>358</v>
      </c>
      <c r="D6" s="14" t="s">
        <v>359</v>
      </c>
    </row>
    <row r="7" spans="1:4" ht="48" x14ac:dyDescent="0.2">
      <c r="A7" s="14" t="s">
        <v>360</v>
      </c>
      <c r="B7" s="14" t="s">
        <v>361</v>
      </c>
      <c r="C7" s="14" t="s">
        <v>362</v>
      </c>
      <c r="D7" s="14" t="s">
        <v>363</v>
      </c>
    </row>
    <row r="8" spans="1:4" ht="32" x14ac:dyDescent="0.2">
      <c r="A8" s="14" t="s">
        <v>364</v>
      </c>
      <c r="B8" s="14" t="s">
        <v>230</v>
      </c>
      <c r="C8" s="14" t="s">
        <v>365</v>
      </c>
      <c r="D8" s="14" t="s">
        <v>366</v>
      </c>
    </row>
    <row r="9" spans="1:4" ht="32" x14ac:dyDescent="0.2">
      <c r="A9" s="14" t="s">
        <v>367</v>
      </c>
      <c r="B9" s="14" t="s">
        <v>368</v>
      </c>
      <c r="C9" s="14" t="s">
        <v>369</v>
      </c>
      <c r="D9" s="14" t="s">
        <v>370</v>
      </c>
    </row>
    <row r="10" spans="1:4" ht="32" x14ac:dyDescent="0.2">
      <c r="A10" s="14" t="s">
        <v>371</v>
      </c>
      <c r="B10" s="14" t="s">
        <v>372</v>
      </c>
      <c r="C10" s="14" t="s">
        <v>373</v>
      </c>
      <c r="D10" s="14" t="s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Mode d'emploi</vt:lpstr>
      <vt:lpstr>Questions</vt:lpstr>
      <vt:lpstr>Métiers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RAOELISON GUITTON Joelle</cp:lastModifiedBy>
  <dcterms:created xsi:type="dcterms:W3CDTF">2026-10-28T10:20:17Z</dcterms:created>
  <dcterms:modified xsi:type="dcterms:W3CDTF">2026-10-28T11:21:43Z</dcterms:modified>
</cp:coreProperties>
</file>