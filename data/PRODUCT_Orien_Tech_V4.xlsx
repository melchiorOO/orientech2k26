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oelleguitton/Downloads/jeu v2/"/>
    </mc:Choice>
  </mc:AlternateContent>
  <xr:revisionPtr revIDLastSave="0" documentId="8_{F0FE1C1F-A8CB-B048-8F7B-81843B2EFEF8}" xr6:coauthVersionLast="47" xr6:coauthVersionMax="47" xr10:uidLastSave="{00000000-0000-0000-0000-000000000000}"/>
  <bookViews>
    <workbookView xWindow="0" yWindow="660" windowWidth="16380" windowHeight="8200" tabRatio="500" xr2:uid="{00000000-000D-0000-FFFF-FFFF00000000}"/>
  </bookViews>
  <sheets>
    <sheet name="Lisez-moi" sheetId="1" r:id="rId1"/>
    <sheet name="Test" sheetId="2" r:id="rId2"/>
    <sheet name="Axes" sheetId="3" r:id="rId3"/>
    <sheet name="Questions" sheetId="4" r:id="rId4"/>
    <sheet name="Matrice" sheetId="5" r:id="rId5"/>
    <sheet name="Metiers" sheetId="6" r:id="rId6"/>
    <sheet name="Familles" sheetId="7" r:id="rId7"/>
  </sheets>
  <definedNames>
    <definedName name="_xlnm._FilterDatabase" localSheetId="3" hidden="1">Questions!$A$1:$G$33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3" i="5" l="1"/>
  <c r="M33" i="5"/>
  <c r="L33" i="5"/>
  <c r="D33" i="5"/>
  <c r="C33" i="5"/>
  <c r="B33" i="5"/>
  <c r="A33" i="5"/>
  <c r="O32" i="5"/>
  <c r="M32" i="5"/>
  <c r="L32" i="5"/>
  <c r="D32" i="5"/>
  <c r="C32" i="5"/>
  <c r="B32" i="5"/>
  <c r="A32" i="5"/>
  <c r="O31" i="5"/>
  <c r="M31" i="5"/>
  <c r="L31" i="5"/>
  <c r="D31" i="5"/>
  <c r="C31" i="5"/>
  <c r="B31" i="5"/>
  <c r="A31" i="5"/>
  <c r="O30" i="5"/>
  <c r="M30" i="5"/>
  <c r="L30" i="5"/>
  <c r="D30" i="5"/>
  <c r="C30" i="5"/>
  <c r="B30" i="5"/>
  <c r="A30" i="5"/>
  <c r="O29" i="5"/>
  <c r="M29" i="5"/>
  <c r="L29" i="5"/>
  <c r="D29" i="5"/>
  <c r="C29" i="5"/>
  <c r="B29" i="5"/>
  <c r="A29" i="5"/>
  <c r="O28" i="5"/>
  <c r="M28" i="5"/>
  <c r="L28" i="5"/>
  <c r="D28" i="5"/>
  <c r="C28" i="5"/>
  <c r="B28" i="5"/>
  <c r="A28" i="5"/>
  <c r="O27" i="5"/>
  <c r="M27" i="5"/>
  <c r="L27" i="5"/>
  <c r="D27" i="5"/>
  <c r="C27" i="5"/>
  <c r="B27" i="5"/>
  <c r="A27" i="5"/>
  <c r="O26" i="5"/>
  <c r="M26" i="5"/>
  <c r="L26" i="5"/>
  <c r="J26" i="5"/>
  <c r="I26" i="5"/>
  <c r="H26" i="5"/>
  <c r="G26" i="5"/>
  <c r="D26" i="5"/>
  <c r="C26" i="5"/>
  <c r="B26" i="5"/>
  <c r="A26" i="5"/>
  <c r="O25" i="5"/>
  <c r="M25" i="5"/>
  <c r="L25" i="5"/>
  <c r="D25" i="5"/>
  <c r="C25" i="5"/>
  <c r="B25" i="5"/>
  <c r="A25" i="5"/>
  <c r="O24" i="5"/>
  <c r="M24" i="5"/>
  <c r="L24" i="5"/>
  <c r="D24" i="5"/>
  <c r="C24" i="5"/>
  <c r="B24" i="5"/>
  <c r="A24" i="5"/>
  <c r="O23" i="5"/>
  <c r="M23" i="5"/>
  <c r="L23" i="5"/>
  <c r="D23" i="5"/>
  <c r="C23" i="5"/>
  <c r="B23" i="5"/>
  <c r="A23" i="5"/>
  <c r="O22" i="5"/>
  <c r="M22" i="5"/>
  <c r="L22" i="5"/>
  <c r="D22" i="5"/>
  <c r="C22" i="5"/>
  <c r="B22" i="5"/>
  <c r="A22" i="5"/>
  <c r="O21" i="5"/>
  <c r="M21" i="5"/>
  <c r="L21" i="5"/>
  <c r="D21" i="5"/>
  <c r="C21" i="5"/>
  <c r="B21" i="5"/>
  <c r="A21" i="5"/>
  <c r="O20" i="5"/>
  <c r="M20" i="5"/>
  <c r="L20" i="5"/>
  <c r="D20" i="5"/>
  <c r="C20" i="5"/>
  <c r="B20" i="5"/>
  <c r="A20" i="5"/>
  <c r="O19" i="5"/>
  <c r="M19" i="5"/>
  <c r="L19" i="5"/>
  <c r="D19" i="5"/>
  <c r="C19" i="5"/>
  <c r="B19" i="5"/>
  <c r="A19" i="5"/>
  <c r="O18" i="5"/>
  <c r="M18" i="5"/>
  <c r="L18" i="5"/>
  <c r="D18" i="5"/>
  <c r="C18" i="5"/>
  <c r="B18" i="5"/>
  <c r="A18" i="5"/>
  <c r="O17" i="5"/>
  <c r="M17" i="5"/>
  <c r="L17" i="5"/>
  <c r="D17" i="5"/>
  <c r="C17" i="5"/>
  <c r="B17" i="5"/>
  <c r="A17" i="5"/>
  <c r="O16" i="5"/>
  <c r="M16" i="5"/>
  <c r="L16" i="5"/>
  <c r="D16" i="5"/>
  <c r="C16" i="5"/>
  <c r="B16" i="5"/>
  <c r="A16" i="5"/>
  <c r="O15" i="5"/>
  <c r="M15" i="5"/>
  <c r="L15" i="5"/>
  <c r="D15" i="5"/>
  <c r="C15" i="5"/>
  <c r="B15" i="5"/>
  <c r="A15" i="5"/>
  <c r="O14" i="5"/>
  <c r="M14" i="5"/>
  <c r="L14" i="5"/>
  <c r="D14" i="5"/>
  <c r="C14" i="5"/>
  <c r="B14" i="5"/>
  <c r="A14" i="5"/>
  <c r="O13" i="5"/>
  <c r="M13" i="5"/>
  <c r="L13" i="5"/>
  <c r="D13" i="5"/>
  <c r="C13" i="5"/>
  <c r="B13" i="5"/>
  <c r="A13" i="5"/>
  <c r="O12" i="5"/>
  <c r="M12" i="5"/>
  <c r="L12" i="5"/>
  <c r="D12" i="5"/>
  <c r="C12" i="5"/>
  <c r="B12" i="5"/>
  <c r="A12" i="5"/>
  <c r="O11" i="5"/>
  <c r="M11" i="5"/>
  <c r="L11" i="5"/>
  <c r="D11" i="5"/>
  <c r="C11" i="5"/>
  <c r="B11" i="5"/>
  <c r="A11" i="5"/>
  <c r="O10" i="5"/>
  <c r="M10" i="5"/>
  <c r="L10" i="5"/>
  <c r="D10" i="5"/>
  <c r="C10" i="5"/>
  <c r="B10" i="5"/>
  <c r="A10" i="5"/>
  <c r="O9" i="5"/>
  <c r="M9" i="5"/>
  <c r="L9" i="5"/>
  <c r="D9" i="5"/>
  <c r="C9" i="5"/>
  <c r="B9" i="5"/>
  <c r="A9" i="5"/>
  <c r="O8" i="5"/>
  <c r="M8" i="5"/>
  <c r="L8" i="5"/>
  <c r="D8" i="5"/>
  <c r="C8" i="5"/>
  <c r="B8" i="5"/>
  <c r="A8" i="5"/>
  <c r="O7" i="5"/>
  <c r="M7" i="5"/>
  <c r="L7" i="5"/>
  <c r="D7" i="5"/>
  <c r="C7" i="5"/>
  <c r="B7" i="5"/>
  <c r="A7" i="5"/>
  <c r="O6" i="5"/>
  <c r="M6" i="5"/>
  <c r="L6" i="5"/>
  <c r="D6" i="5"/>
  <c r="C6" i="5"/>
  <c r="B6" i="5"/>
  <c r="A6" i="5"/>
  <c r="O5" i="5"/>
  <c r="M5" i="5"/>
  <c r="L5" i="5"/>
  <c r="D5" i="5"/>
  <c r="C5" i="5"/>
  <c r="B5" i="5"/>
  <c r="A5" i="5"/>
  <c r="O4" i="5"/>
  <c r="M4" i="5"/>
  <c r="L4" i="5"/>
  <c r="D4" i="5"/>
  <c r="C4" i="5"/>
  <c r="B4" i="5"/>
  <c r="A4" i="5"/>
  <c r="O3" i="5"/>
  <c r="M3" i="5"/>
  <c r="L3" i="5"/>
  <c r="J3" i="5"/>
  <c r="I3" i="5"/>
  <c r="D3" i="5"/>
  <c r="C3" i="5"/>
  <c r="B3" i="5"/>
  <c r="A3" i="5"/>
  <c r="O2" i="5"/>
  <c r="M2" i="5"/>
  <c r="L2" i="5"/>
  <c r="D2" i="5"/>
  <c r="C2" i="5"/>
  <c r="B2" i="5"/>
  <c r="A2" i="5"/>
  <c r="F33" i="2"/>
  <c r="E33" i="2"/>
  <c r="C33" i="2"/>
  <c r="B33" i="2"/>
  <c r="A33" i="2"/>
  <c r="E32" i="2"/>
  <c r="C32" i="2"/>
  <c r="B32" i="2"/>
  <c r="F32" i="2" s="1"/>
  <c r="A32" i="2"/>
  <c r="F31" i="2"/>
  <c r="E31" i="2"/>
  <c r="C31" i="2"/>
  <c r="B31" i="2"/>
  <c r="A31" i="2"/>
  <c r="E30" i="2"/>
  <c r="C30" i="2"/>
  <c r="B30" i="2"/>
  <c r="F30" i="2" s="1"/>
  <c r="A30" i="2"/>
  <c r="F29" i="2"/>
  <c r="E29" i="2"/>
  <c r="C29" i="2"/>
  <c r="B29" i="2"/>
  <c r="A29" i="2"/>
  <c r="F28" i="2"/>
  <c r="E28" i="2"/>
  <c r="C28" i="2"/>
  <c r="B28" i="2"/>
  <c r="A28" i="2"/>
  <c r="F27" i="2"/>
  <c r="E27" i="2"/>
  <c r="C27" i="2"/>
  <c r="B27" i="2"/>
  <c r="A27" i="2"/>
  <c r="F26" i="2"/>
  <c r="E26" i="2"/>
  <c r="C26" i="2"/>
  <c r="B26" i="2"/>
  <c r="A26" i="2"/>
  <c r="F25" i="2"/>
  <c r="E25" i="2"/>
  <c r="C25" i="2"/>
  <c r="B25" i="2"/>
  <c r="A25" i="2"/>
  <c r="F24" i="2"/>
  <c r="E24" i="2"/>
  <c r="C24" i="2"/>
  <c r="B24" i="2"/>
  <c r="A24" i="2"/>
  <c r="F23" i="2"/>
  <c r="E23" i="2"/>
  <c r="C23" i="2"/>
  <c r="B23" i="2"/>
  <c r="A23" i="2"/>
  <c r="F22" i="2"/>
  <c r="E22" i="2"/>
  <c r="C22" i="2"/>
  <c r="B22" i="2"/>
  <c r="A22" i="2"/>
  <c r="F21" i="2"/>
  <c r="E21" i="2"/>
  <c r="C21" i="2"/>
  <c r="B21" i="2"/>
  <c r="A21" i="2"/>
  <c r="F20" i="2"/>
  <c r="E20" i="2"/>
  <c r="C20" i="2"/>
  <c r="B20" i="2"/>
  <c r="A20" i="2"/>
  <c r="F19" i="2"/>
  <c r="E19" i="2"/>
  <c r="C19" i="2"/>
  <c r="B19" i="2"/>
  <c r="A19" i="2"/>
  <c r="F18" i="2"/>
  <c r="E18" i="2"/>
  <c r="C18" i="2"/>
  <c r="B18" i="2"/>
  <c r="A18" i="2"/>
  <c r="F17" i="2"/>
  <c r="E17" i="2"/>
  <c r="C17" i="2"/>
  <c r="B17" i="2"/>
  <c r="A17" i="2"/>
  <c r="J16" i="2"/>
  <c r="F16" i="2"/>
  <c r="E16" i="2"/>
  <c r="C16" i="2"/>
  <c r="B16" i="2"/>
  <c r="A16" i="2"/>
  <c r="F15" i="2"/>
  <c r="E15" i="2"/>
  <c r="C15" i="2"/>
  <c r="B15" i="2"/>
  <c r="A15" i="2"/>
  <c r="F14" i="2"/>
  <c r="E14" i="2"/>
  <c r="C14" i="2"/>
  <c r="B14" i="2"/>
  <c r="A14" i="2"/>
  <c r="F13" i="2"/>
  <c r="E13" i="2"/>
  <c r="C13" i="2"/>
  <c r="B13" i="2"/>
  <c r="A13" i="2"/>
  <c r="F12" i="2"/>
  <c r="E12" i="2"/>
  <c r="C12" i="2"/>
  <c r="B12" i="2"/>
  <c r="A12" i="2"/>
  <c r="F11" i="2"/>
  <c r="E11" i="2"/>
  <c r="C11" i="2"/>
  <c r="B11" i="2"/>
  <c r="A11" i="2"/>
  <c r="F10" i="2"/>
  <c r="E10" i="2"/>
  <c r="C10" i="2"/>
  <c r="B10" i="2"/>
  <c r="A10" i="2"/>
  <c r="F9" i="2"/>
  <c r="E9" i="2"/>
  <c r="C9" i="2"/>
  <c r="B9" i="2"/>
  <c r="A9" i="2"/>
  <c r="F8" i="2"/>
  <c r="E8" i="2"/>
  <c r="C8" i="2"/>
  <c r="B8" i="2"/>
  <c r="A8" i="2"/>
  <c r="F7" i="2"/>
  <c r="E7" i="2"/>
  <c r="C7" i="2"/>
  <c r="B7" i="2"/>
  <c r="A7" i="2"/>
  <c r="F6" i="2"/>
  <c r="E6" i="2"/>
  <c r="C6" i="2"/>
  <c r="B6" i="2"/>
  <c r="A6" i="2"/>
  <c r="L5" i="2"/>
  <c r="M5" i="2" s="1"/>
  <c r="J5" i="2"/>
  <c r="K5" i="2" s="1"/>
  <c r="N5" i="2" s="1"/>
  <c r="I5" i="2"/>
  <c r="F5" i="2"/>
  <c r="E5" i="2"/>
  <c r="C5" i="2"/>
  <c r="B5" i="2"/>
  <c r="A5" i="2"/>
  <c r="L4" i="2"/>
  <c r="M4" i="2" s="1"/>
  <c r="J4" i="2"/>
  <c r="K4" i="2" s="1"/>
  <c r="I4" i="2"/>
  <c r="F4" i="2"/>
  <c r="E4" i="2"/>
  <c r="C4" i="2"/>
  <c r="B4" i="2"/>
  <c r="A4" i="2"/>
  <c r="L3" i="2"/>
  <c r="M3" i="2" s="1"/>
  <c r="J3" i="2"/>
  <c r="K3" i="2" s="1"/>
  <c r="I3" i="2"/>
  <c r="F3" i="2"/>
  <c r="E3" i="2"/>
  <c r="C3" i="2"/>
  <c r="B3" i="2"/>
  <c r="A3" i="2"/>
  <c r="L2" i="2"/>
  <c r="M2" i="2" s="1"/>
  <c r="J2" i="2"/>
  <c r="K2" i="2" s="1"/>
  <c r="N2" i="2" s="1"/>
  <c r="I2" i="2"/>
  <c r="F2" i="2"/>
  <c r="E2" i="2"/>
  <c r="C2" i="2"/>
  <c r="B2" i="2"/>
  <c r="A2" i="2"/>
  <c r="I33" i="5" l="1"/>
  <c r="H33" i="5"/>
  <c r="G33" i="5"/>
  <c r="F33" i="5"/>
  <c r="E33" i="5"/>
  <c r="N33" i="5" s="1"/>
  <c r="J33" i="5"/>
  <c r="J32" i="5"/>
  <c r="I32" i="5"/>
  <c r="H32" i="5"/>
  <c r="G32" i="5"/>
  <c r="F32" i="5"/>
  <c r="E32" i="5"/>
  <c r="N32" i="5" s="1"/>
  <c r="J31" i="5"/>
  <c r="H31" i="5"/>
  <c r="G31" i="5"/>
  <c r="F31" i="5"/>
  <c r="I31" i="5"/>
  <c r="E31" i="5"/>
  <c r="N31" i="5" s="1"/>
  <c r="J30" i="5"/>
  <c r="I30" i="5"/>
  <c r="H30" i="5"/>
  <c r="G30" i="5"/>
  <c r="F30" i="5"/>
  <c r="E30" i="5"/>
  <c r="N30" i="5" s="1"/>
  <c r="G29" i="5"/>
  <c r="F29" i="5"/>
  <c r="E29" i="5"/>
  <c r="N29" i="5" s="1"/>
  <c r="H29" i="5"/>
  <c r="I29" i="5"/>
  <c r="J29" i="5"/>
  <c r="E28" i="5"/>
  <c r="N28" i="5" s="1"/>
  <c r="F28" i="5"/>
  <c r="G28" i="5"/>
  <c r="H28" i="5"/>
  <c r="I28" i="5"/>
  <c r="J28" i="5"/>
  <c r="G27" i="5"/>
  <c r="H27" i="5"/>
  <c r="J27" i="5"/>
  <c r="I27" i="5"/>
  <c r="E27" i="5"/>
  <c r="F27" i="5"/>
  <c r="F26" i="5"/>
  <c r="E26" i="5"/>
  <c r="N26" i="5" s="1"/>
  <c r="H25" i="5"/>
  <c r="J25" i="5"/>
  <c r="E25" i="5"/>
  <c r="N25" i="5" s="1"/>
  <c r="G25" i="5"/>
  <c r="I25" i="5"/>
  <c r="F25" i="5"/>
  <c r="E24" i="5"/>
  <c r="N24" i="5" s="1"/>
  <c r="G24" i="5"/>
  <c r="I24" i="5"/>
  <c r="F24" i="5"/>
  <c r="H24" i="5"/>
  <c r="J24" i="5"/>
  <c r="F23" i="5"/>
  <c r="I23" i="5"/>
  <c r="G23" i="5"/>
  <c r="E23" i="5"/>
  <c r="N23" i="5" s="1"/>
  <c r="H23" i="5"/>
  <c r="J23" i="5"/>
  <c r="E22" i="5"/>
  <c r="N22" i="5" s="1"/>
  <c r="J22" i="5"/>
  <c r="F22" i="5"/>
  <c r="G22" i="5"/>
  <c r="H22" i="5"/>
  <c r="I22" i="5"/>
  <c r="E21" i="5"/>
  <c r="N21" i="5" s="1"/>
  <c r="H21" i="5"/>
  <c r="J21" i="5"/>
  <c r="I21" i="5"/>
  <c r="F21" i="5"/>
  <c r="G21" i="5"/>
  <c r="I20" i="5"/>
  <c r="E20" i="5"/>
  <c r="F20" i="5"/>
  <c r="J20" i="5"/>
  <c r="G20" i="5"/>
  <c r="H20" i="5"/>
  <c r="F19" i="5"/>
  <c r="J19" i="5"/>
  <c r="G19" i="5"/>
  <c r="I19" i="5"/>
  <c r="E19" i="5"/>
  <c r="N19" i="5" s="1"/>
  <c r="H19" i="5"/>
  <c r="E18" i="5"/>
  <c r="F18" i="5"/>
  <c r="G18" i="5"/>
  <c r="H18" i="5"/>
  <c r="I18" i="5"/>
  <c r="J18" i="5"/>
  <c r="E17" i="5"/>
  <c r="N17" i="5" s="1"/>
  <c r="F17" i="5"/>
  <c r="G17" i="5"/>
  <c r="H17" i="5"/>
  <c r="I17" i="5"/>
  <c r="J17" i="5"/>
  <c r="J16" i="5"/>
  <c r="I16" i="5"/>
  <c r="H16" i="5"/>
  <c r="E16" i="5"/>
  <c r="N16" i="5" s="1"/>
  <c r="G16" i="5"/>
  <c r="F16" i="5"/>
  <c r="J15" i="5"/>
  <c r="F15" i="5"/>
  <c r="G15" i="5"/>
  <c r="E15" i="5"/>
  <c r="N15" i="5" s="1"/>
  <c r="H15" i="5"/>
  <c r="I15" i="5"/>
  <c r="J14" i="5"/>
  <c r="I14" i="5"/>
  <c r="H14" i="5"/>
  <c r="G14" i="5"/>
  <c r="F14" i="5"/>
  <c r="E14" i="5"/>
  <c r="N14" i="5" s="1"/>
  <c r="J13" i="5"/>
  <c r="E13" i="5"/>
  <c r="N13" i="5" s="1"/>
  <c r="F13" i="5"/>
  <c r="G13" i="5"/>
  <c r="H13" i="5"/>
  <c r="I13" i="5"/>
  <c r="F12" i="5"/>
  <c r="G12" i="5"/>
  <c r="H12" i="5"/>
  <c r="I12" i="5"/>
  <c r="J12" i="5"/>
  <c r="E12" i="5"/>
  <c r="N12" i="5" s="1"/>
  <c r="F11" i="5"/>
  <c r="J11" i="5"/>
  <c r="G11" i="5"/>
  <c r="E11" i="5"/>
  <c r="I11" i="5"/>
  <c r="H11" i="5"/>
  <c r="J10" i="5"/>
  <c r="I10" i="5"/>
  <c r="H10" i="5"/>
  <c r="G10" i="5"/>
  <c r="F10" i="5"/>
  <c r="E10" i="5"/>
  <c r="N10" i="5" s="1"/>
  <c r="E9" i="5"/>
  <c r="N9" i="5" s="1"/>
  <c r="J9" i="5"/>
  <c r="I9" i="5"/>
  <c r="H9" i="5"/>
  <c r="G9" i="5"/>
  <c r="F9" i="5"/>
  <c r="E8" i="5"/>
  <c r="N8" i="5" s="1"/>
  <c r="J8" i="5"/>
  <c r="I8" i="5"/>
  <c r="H8" i="5"/>
  <c r="G8" i="5"/>
  <c r="F8" i="5"/>
  <c r="F7" i="5"/>
  <c r="J7" i="5"/>
  <c r="I7" i="5"/>
  <c r="H7" i="5"/>
  <c r="G7" i="5"/>
  <c r="E7" i="5"/>
  <c r="N7" i="5" s="1"/>
  <c r="E6" i="5"/>
  <c r="N6" i="5" s="1"/>
  <c r="F6" i="5"/>
  <c r="G6" i="5"/>
  <c r="H6" i="5"/>
  <c r="I6" i="5"/>
  <c r="J6" i="5"/>
  <c r="J5" i="5"/>
  <c r="H5" i="5"/>
  <c r="F5" i="5"/>
  <c r="I5" i="5"/>
  <c r="E5" i="5"/>
  <c r="G5" i="5"/>
  <c r="J4" i="5"/>
  <c r="I4" i="5"/>
  <c r="H4" i="5"/>
  <c r="G4" i="5"/>
  <c r="F4" i="5"/>
  <c r="E4" i="5"/>
  <c r="N4" i="5" s="1"/>
  <c r="E3" i="5"/>
  <c r="F3" i="5"/>
  <c r="G3" i="5"/>
  <c r="H3" i="5"/>
  <c r="H2" i="5"/>
  <c r="J2" i="5"/>
  <c r="I2" i="5"/>
  <c r="G2" i="5"/>
  <c r="F2" i="5"/>
  <c r="E2" i="5"/>
  <c r="N3" i="2"/>
  <c r="N4" i="2"/>
  <c r="N18" i="5" l="1"/>
  <c r="N20" i="5"/>
  <c r="N5" i="5"/>
  <c r="N3" i="5"/>
  <c r="N2" i="5"/>
  <c r="J8" i="2"/>
  <c r="N27" i="5"/>
  <c r="N11" i="5"/>
  <c r="J9" i="2" l="1"/>
  <c r="J10" i="2"/>
  <c r="J11" i="2"/>
  <c r="J12" i="2"/>
  <c r="J13" i="2"/>
  <c r="J14" i="2"/>
  <c r="J15" i="2"/>
  <c r="J22" i="2"/>
  <c r="J21" i="2"/>
</calcChain>
</file>

<file path=xl/sharedStrings.xml><?xml version="1.0" encoding="utf-8"?>
<sst xmlns="http://schemas.openxmlformats.org/spreadsheetml/2006/main" count="895" uniqueCount="559">
  <si>
    <t>Orien Tech' V1 : 32 affirmations « C'est… que tu… » Oui / Non pour 16 métiers</t>
  </si>
  <si>
    <t>Ce qui change</t>
  </si>
  <si>
    <t>Toutes les affirmations suivent le modèle « C'est quand / en… que tu donnes le meilleur de toi (ou produis les meilleurs résultats, ou te sens le plus à l'aise) ». Chaque affirmation décrit où le joueur est à son meilleur, ce qui valorise aussi bien un Oui qu'un Non. Aucune ne décrit une qualité ou un défaut d'élève.</t>
  </si>
  <si>
    <t>Consigne à donner au joueur</t>
  </si>
  <si>
    <t>« Il n'y a ni bonne ni mauvaise réponse. Réponds Oui si c'est vrai pour toi, Non si ce n'est pas vraiment ton cas. »</t>
  </si>
  <si>
    <t>Mise en situation illustrative</t>
  </si>
  <si>
    <t>Chaque affirmation est suivie d'un exemple concret de la vie de collégien, pour que le joueur comprenne bien la question. L'exemple illustre l'affirmation : il ne change pas la réponse attendue (Oui si c'est vrai pour toi, Non sinon). Dans l'application, il peut s'afficher sous la question ou à la demande.</t>
  </si>
  <si>
    <t>Principe</t>
  </si>
  <si>
    <t>4 axes à deux pôles, 2⁴ = 16 profils, un code de 4 lettres = un métier. Chaque axe a 8 questions : 4 qui décrivent le pôle 1 et 4 qui décrivent le pôle 2.</t>
  </si>
  <si>
    <t>Comment on compte</t>
  </si>
  <si>
    <t>Un Oui ajoute 1 point au pôle visé par la question. Un Non n'ajoute rien : il ne veut pas dire qu'on est l'inverse, juste que ça ne te ressemble pas. Pour chaque axe, le pôle qui a le plus de Oui l'emporte (score de 0 à 4).</t>
  </si>
  <si>
    <t>Égalité</t>
  </si>
  <si>
    <t>En cas d'égalité (par exemple 2-2), une question décisive par axe (colonne Décisive = Oui) tranche : Oui à cette question donne son pôle, Non donne l'autre pôle.</t>
  </si>
  <si>
    <t>Réponses peu utiles</t>
  </si>
  <si>
    <t>Si le joueur répond Oui (ou Non) presque partout, la feuille Test affiche un avertissement : le résultat est alors peu fiable.</t>
  </si>
  <si>
    <t>Ordre de passation</t>
  </si>
  <si>
    <t>Les axes alternent d'une question à l'autre, et les pôles aussi, pour que le joueur ne devine pas ce qui est mesuré.</t>
  </si>
  <si>
    <t>Lien avec les axes</t>
  </si>
  <si>
    <t>Chaque affirmation décrit un contexte où le joueur est à son meilleur, ce qui oriente vers un pôle. Exemples : « à la dernière minute » oriente vers Improviser ; « quand tu as pu tout préparer à l'avance » vers Préparer ; « en t'occupant de la sono » vers Technique. Ce sont mes lectures, à discuter et à tester.</t>
  </si>
  <si>
    <t>Limites</t>
  </si>
  <si>
    <t>Les questions n'ont pas été essayées avec des élèves de 4ᵉ. Plusieurs Oui sont probables (on aime tout un peu à 14 ans) : le test doit montrer si les scores se différencient assez. Les codes de 4 lettres rattachés aux métiers sont mon choix, à valider.</t>
  </si>
  <si>
    <t>Légende</t>
  </si>
  <si>
    <t>Fond jaune et texte bleu : réponses à saisir (Oui ou Non). Les réponses présentes sont un exemple (profil HIVE) à remplacer.</t>
  </si>
  <si>
    <t>Matrice (nouvel onglet)</t>
  </si>
  <si>
    <t>Une ligne par affirmation (modèle de la matrice d'orientation vers les familles de métiers) : axe, pôles, ce que mesure l'axe, compétences, question équivalente, mise en situation, pôle visé si Oui / si Non, familles et métiers associés au pôle.</t>
  </si>
  <si>
    <t>Familles (nouvel onglet)</t>
  </si>
  <si>
    <t>Les 7 familles du Numérique (France Travail) avec les métiers du jeu rattachés. Le résultat du test affiche la famille principale et la famille voisine.</t>
  </si>
  <si>
    <t>Attention</t>
  </si>
  <si>
    <t>Rattachements pôle → familles et métier → famille = propositions de travail, à valider avec l'équipe et un conseiller d'orientation.</t>
  </si>
  <si>
    <t>N°</t>
  </si>
  <si>
    <t>Axe</t>
  </si>
  <si>
    <t>Mise en situation</t>
  </si>
  <si>
    <t>Oui ou Non</t>
  </si>
  <si>
    <t>Pôle visé</t>
  </si>
  <si>
    <t>Décisive (axe)</t>
  </si>
  <si>
    <t>Nom</t>
  </si>
  <si>
    <t>Pôle 1</t>
  </si>
  <si>
    <t>Oui pôle 1</t>
  </si>
  <si>
    <t>Pôle 2</t>
  </si>
  <si>
    <t>Oui pôle 2</t>
  </si>
  <si>
    <t>Pôle retenu</t>
  </si>
  <si>
    <t>Oui</t>
  </si>
  <si>
    <t>Non</t>
  </si>
  <si>
    <t>Résultat</t>
  </si>
  <si>
    <t>Code du profil</t>
  </si>
  <si>
    <t>Métier suggéré</t>
  </si>
  <si>
    <t>Ce que fait le professionnel</t>
  </si>
  <si>
    <t>Étape de l'anniversaire</t>
  </si>
  <si>
    <t>Compétences durables</t>
  </si>
  <si>
    <t>Matières à valoriser</t>
  </si>
  <si>
    <t>Voies de formation (pistes)</t>
  </si>
  <si>
    <t>Métier voisin à explorer</t>
  </si>
  <si>
    <t>Fiabilité des réponses</t>
  </si>
  <si>
    <t>Légende : cellules jaunes = réponses à saisir (Oui ou Non). Les réponses d'exemple (profil HIVE) sont à remplacer.</t>
  </si>
  <si>
    <t>Un Oui ajoute 1 point au pôle visé ; égalité : la question décisive de l'axe tranche.</t>
  </si>
  <si>
    <t>Famille de métiers (France Travail)</t>
  </si>
  <si>
    <t>Famille voisine à explorer</t>
  </si>
  <si>
    <t>Nom de l'axe</t>
  </si>
  <si>
    <t>Question posée</t>
  </si>
  <si>
    <t>Pôle 1 (code)</t>
  </si>
  <si>
    <t>Pôle 2 (code)</t>
  </si>
  <si>
    <t>Ce que mesure l'axe</t>
  </si>
  <si>
    <t>Compétences durables liées (pôle 1 / pôle 2)</t>
  </si>
  <si>
    <t>Ce qui m'attire</t>
  </si>
  <si>
    <t>Qu'est-ce qui m'intéresse le plus dans un projet ?</t>
  </si>
  <si>
    <t>H</t>
  </si>
  <si>
    <t>Les personnes (utilisateurs, équipes)</t>
  </si>
  <si>
    <t>T</t>
  </si>
  <si>
    <t>La technique (code, données, machines)</t>
  </si>
  <si>
    <t>Tourné vers les gens ou vers les systèmes</t>
  </si>
  <si>
    <t>Coopérer en équipe, Communiquer et expliquer / Résoudre avec méthode, Analyser et raisonner</t>
  </si>
  <si>
    <t>Ma démarche</t>
  </si>
  <si>
    <t>Comment j'aime agir ?</t>
  </si>
  <si>
    <t>I</t>
  </si>
  <si>
    <t>Improviser et inventer (créer sur le moment, faire autrement)</t>
  </si>
  <si>
    <t>F</t>
  </si>
  <si>
    <t>Préparer et fiabiliser (anticiper, vérifier)</t>
  </si>
  <si>
    <t>Goût de la création ou de l'analyse et de la fiabilité</t>
  </si>
  <si>
    <t>Créer et innover / Analyser et raisonner, Résoudre avec méthode</t>
  </si>
  <si>
    <t>Mon terrain</t>
  </si>
  <si>
    <t>Où je me sens à ma place ?</t>
  </si>
  <si>
    <t>V</t>
  </si>
  <si>
    <t>Côté visible (se montrer, être au contact)</t>
  </si>
  <si>
    <t>C</t>
  </si>
  <si>
    <t>Coulisses (rester en retrait, préparer)</t>
  </si>
  <si>
    <t>Contact avec les utilisateurs ou travail en arrière-plan</t>
  </si>
  <si>
    <t>Communiquer et expliquer / Apprendre à apprendre, Résoudre avec méthode</t>
  </si>
  <si>
    <t>Ma façon de travailler</t>
  </si>
  <si>
    <t>Comment je préfère travailler ?</t>
  </si>
  <si>
    <t>E</t>
  </si>
  <si>
    <t>Expertise en profondeur (je maîtrise à fond)</t>
  </si>
  <si>
    <t>K</t>
  </si>
  <si>
    <t>Collectif et coordination (je fais avancer ensemble)</t>
  </si>
  <si>
    <t>Expertise individuelle ou travail collectif</t>
  </si>
  <si>
    <t>Apprendre à apprendre, Se connaître et s'engager / Coopérer en équipe, S'adapter et rebondir</t>
  </si>
  <si>
    <t>N° de passation</t>
  </si>
  <si>
    <t>Affirmation (Oui = c'est vrai pour moi, Non = pas vraiment)</t>
  </si>
  <si>
    <t>Décisive</t>
  </si>
  <si>
    <t>C'est en accueillant les invités d'une fête, en veillant à ce que chacun se sente bien, que tu donnes le meilleur de toi.</t>
  </si>
  <si>
    <t>Exemple : pour l'anniversaire de ton meilleur ami, tu es à la porte, tu salues chaque invité, tu présentes ceux qui ne se connaissent pas et tu veilles à ce que personne ne reste seul dans son coin.</t>
  </si>
  <si>
    <t>C'est quand un prof te laisse choisir librement comment présenter ton travail que tu produis tes meilleurs résultats.</t>
  </si>
  <si>
    <t>Exemple : le prof dit « Présentez ce thème comme vous voulez : affiche, vidéo, saynète… ». Tu choisis ton format et tu te lances.</t>
  </si>
  <si>
    <t>C'est quand tu présentes ton travail devant la classe que tu donnes le meilleur de toi.</t>
  </si>
  <si>
    <t>Exemple : ton groupe a fini son exposé et tu te lèves devant la classe pour le présenter.</t>
  </si>
  <si>
    <t>C'est quand tu apprends seul(e) que tu retiens le mieux.</t>
  </si>
  <si>
    <t>Exemple : tu veux apprendre une nouvelle technique de dessin ou un nouveau tour de magie. Tu regardes un tutoriel et tu t'entraînes seul(e) jusqu'à y arriver.</t>
  </si>
  <si>
    <t>C'est en t'occupant de la sono et du vidéoprojecteur d'une fête que tu donnes le meilleur de toi.</t>
  </si>
  <si>
    <t>Exemple : le jour de l'anniversaire, tu branches la sono, tu règles le son et tu fais marcher le vidéoprojecteur pour le diaporama de photos.</t>
  </si>
  <si>
    <t>C'est quand un prof te donne un modèle précis à suivre étape par étape que tu produis tes meilleurs résultats.</t>
  </si>
  <si>
    <t>Exemple : le prof donne une fiche : un titre, trois parties, une conclusion, avec la longueur de chacune. Tu suis les étapes une par une.</t>
  </si>
  <si>
    <t>C'est quand tu prépares le matériel pendant qu'un autre présente que tu donnes le meilleur de toi.</t>
  </si>
  <si>
    <t>Exemple : pendant qu'un camarade présente, toi tu as préparé les diapositives, les documents et le matériel, et tu les passes au bon moment.</t>
  </si>
  <si>
    <t>C'est en discutant avec d'autres que tu apprends le mieux.</t>
  </si>
  <si>
    <t>Exemple : tu révises un chapitre de maths. Tu en parles avec un ami et vous vous expliquez les points difficiles.</t>
  </si>
  <si>
    <t>C'est quand tu te demandes à qui sert un objet et si les gens l'aimeront que tu as tes meilleures idées.</t>
  </si>
  <si>
    <t>Exemple : on te montre une montre connectée. Ta première réaction : « Qui s'en servirait ? Mes grands-parents ? Mes amis sportifs ? Est-ce qu'ils aimeraient ça ? »</t>
  </si>
  <si>
    <t>C'est à la dernière minute que tu produis les meilleurs résultats.</t>
  </si>
  <si>
    <t>Exemple : un devoir est à rendre demain matin. Tu t'y mets la veille au soir, et c'est là que tes meilleures idées arrivent.</t>
  </si>
  <si>
    <t>C'est en disant clairement ce que tu penses, même si ça crée de la tension, que tu défends le mieux tes idées.</t>
  </si>
  <si>
    <t>Exemple : en débat, un camarade n'est pas d'accord avec toi. Tu expliques clairement pourquoi tu penses autrement, même si la discussion devient tendue.</t>
  </si>
  <si>
    <t>C'est quand tu te plonges à fond dans un sujet qui te passionne que tu deviens le plus fort(e).</t>
  </si>
  <si>
    <t>Exemple : tu découvres un sujet qui te passionne (dinosaures, code, musique) et tu y passes tes week-ends jusqu'à tout savoir dessus.</t>
  </si>
  <si>
    <t>C'est quand ton téléphone bugue et que tu fouilles dans les réglages que tu es le plus efficace.</t>
  </si>
  <si>
    <t>Exemple : ton téléphone se fige en plein jeu. Tu ouvres les réglages, tu testes plusieurs options et tu continues jusqu'à ce qu'il remarche.</t>
  </si>
  <si>
    <t>C'est quand tu as pu tout préparer à l'avance que tu produis les meilleurs résultats.</t>
  </si>
  <si>
    <t>Exemple : un devoir est à rendre dans une semaine. Tu le prépares par étapes dès les premiers jours et tu rends un travail dont tu es content(e).</t>
  </si>
  <si>
    <t>C'est quand tu laisses passer un désaccord en classe pour garder le calme que tu te sens le mieux.</t>
  </si>
  <si>
    <t>Exemple : en classe, quelqu'un te contredit. Tu choisis de ne pas insister pour que la discussion reste calme.</t>
  </si>
  <si>
    <t>C'est en répartissant les rôles et en coordonnant tout le monde que tu fais le mieux avancer un projet de groupe.</t>
  </si>
  <si>
    <t>Exemple : dans un projet de groupe, tu dis « Toi tu cherches, toi tu rédiges, toi tu fais l'affiche » et tu suis l'avancement de chacun.</t>
  </si>
  <si>
    <t>C'est quand tu dois captiver ceux qui t'écoutent (exposé, présentation) que tu produis tes meilleurs résultats.</t>
  </si>
  <si>
    <t>Exemple : tu dois présenter un exposé à la classe. Tu cherches une accroche, une anecdote ou une question pour que tout le monde écoute jusqu'au bout.</t>
  </si>
  <si>
    <t>C'est en inventant une nouvelle règle ou une nouvelle version d'un jeu de société que tu t'amuses le plus.</t>
  </si>
  <si>
    <t>Exemple : en jouant au Uno ou au Monopoly, tu proposes une règle de ton invention (un défi, un bonus) pour pimenter la partie.</t>
  </si>
  <si>
    <t>C'est quand on voit ce que tu as créé (dessin, projet, vidéo) que tu te sens le plus motivé(e).</t>
  </si>
  <si>
    <t>Exemple : tu fais un dessin, une vidéo ou un projet de techno ; il est affiché ou partagé et les autres peuvent le voir et réagir.</t>
  </si>
  <si>
    <t>C'est en prenant en charge seul(e) une partie difficile d'un projet de groupe que tu donnes le meilleur de toi.</t>
  </si>
  <si>
    <t>Exemple : dans le projet de groupe, la partie la plus compliquée (le code, le calcul) ne tente personne ; tu la prends et tu la finis seul(e).</t>
  </si>
  <si>
    <t>C'est en testant tous les boutons d'un nouvel appareil que tu comprends le mieux comment il marche.</t>
  </si>
  <si>
    <t>Exemple : tu reçois une enceinte ou une manette que tu ne connais pas. Tu appuies sur chaque bouton pour voir ce qui se passe, avant même d'ouvrir la notice.</t>
  </si>
  <si>
    <t>C'est en connaissant toutes les règles d'un jeu de société et en vérifiant qu'elles sont respectées que tu t'amuses le plus.</t>
  </si>
  <si>
    <t>Exemple : pendant une partie, tu connais la règle exacte et tu rappelles à tes amis qui doit jouer et comment se calculent les points.</t>
  </si>
  <si>
    <t>C'est quand tu travailles dans ton coin, sans que ton travail soit forcément montré, que tu produis tes meilleurs résultats.</t>
  </si>
  <si>
    <t>Exemple : tu passes un après-midi à avancer sur ton projet dans ton coin, sans le montrer avant qu'il soit fini.</t>
  </si>
  <si>
    <t>C'est en lançant un projet avec plusieurs amis que tu es le plus motivé(e).</t>
  </si>
  <si>
    <t>Exemple : tu proposes à tes amis de monter ensemble une chaîne vidéo, un club ou un tournoi.</t>
  </si>
  <si>
    <t>C'est en observant les gens que tu devines le mieux ce qui leur ferait plaisir.</t>
  </si>
  <si>
    <t>Exemple : à la cantine ou au repas de famille, tu remarques ce qu'un ami regarde ou aime, et tu en déduis le cadeau qui lui plairait.</t>
  </si>
  <si>
    <t>C'est quand il manque un matériel et que tu bricoles une solution avec ce que tu as sous la main que tu es le plus à ton aise.</t>
  </si>
  <si>
    <t>Exemple : pour un projet de techno, tu n'as pas de colle : tu fabriques une fixation avec du scotch, des élastiques ou du carton.</t>
  </si>
  <si>
    <t>C'est en préparant tout en coulisses d'une fête (musique, lumières) que tu t'éclates le plus.</t>
  </si>
  <si>
    <t>Exemple : pendant une fête, tu gères la playlist et les lumières depuis un coin de la pièce pendant que les autres dansent.</t>
  </si>
  <si>
    <t>C'est en étant capitaine d'une équipe que tu donnes le meilleur de toi.</t>
  </si>
  <si>
    <t>Exemple : dans un match, le capitaine choisit les postes, encourage l'équipe et parle à l'arbitre : c'est le rôle que tu prends.</t>
  </si>
  <si>
    <t>C'est quand tu comprends comment un jeu vidéo est fabriqué qu'il t'intéresse le plus.</t>
  </si>
  <si>
    <t>Exemple : en jouant, tu te demandes comment les développeurs ont programmé les mouvements du personnage ou la physique du jeu.</t>
  </si>
  <si>
    <t>C'est quand tu cherches méthodiquement ce qui cause un problème que tu es le plus efficace.</t>
  </si>
  <si>
    <t>Exemple : une lampe ne s'allume plus. Tu vérifies l'ampoule, la prise, l'interrupteur, un par un, pour trouver où ça bloque.</t>
  </si>
  <si>
    <t>C'est en accueillant les invités et en lançant l'ambiance d'une fête que tu t'éclates le plus.</t>
  </si>
  <si>
    <t>Exemple : à l'entrée de la fête, tu accueilles chaque invité avec le sourire et tu lances le premier jeu ou la première danse.</t>
  </si>
  <si>
    <t>C'est en devenant le ou la spécialiste de quelque chose que tu te sens le plus accompli(e).</t>
  </si>
  <si>
    <t>Exemple : tu t'imagines dans dix ans : on vient te voir parce que tu es la personne qui connaît tout sur ton sujet.</t>
  </si>
  <si>
    <t>Question posée (Oui / Non)</t>
  </si>
  <si>
    <t>Compétences durables liées</t>
  </si>
  <si>
    <t>Question équivalente vie quotidienne collégien</t>
  </si>
  <si>
    <t>Mise en situation quotidienne</t>
  </si>
  <si>
    <t>Pôle visé si Oui</t>
  </si>
  <si>
    <t>Pôle visé si Non</t>
  </si>
  <si>
    <t>Famille(s) de métiers de la tech associée(s) au pôle visé</t>
  </si>
  <si>
    <t>Idées de métiers associés au pôle visé</t>
  </si>
  <si>
    <t>Matières au collège / lycée à valoriser</t>
  </si>
  <si>
    <t>Source</t>
  </si>
  <si>
    <t>Tu es à l'aise pour mettre les autres à l'aise ?</t>
  </si>
  <si>
    <t>5 Marketing digital, communication et e-commerce ; 7 Stratégie et gestion de projet ; 3 Design (UX)</t>
  </si>
  <si>
    <t>UX / UI designer ; Community manager ; Chef·fe de projet digital ; Technico-commercial·e tech</t>
  </si>
  <si>
    <t>Français ; Anglais ; Arts plastiques ; Histoire-géographie</t>
  </si>
  <si>
    <t>Questions : version validée par Joelle (« C'est… que tu… »). Familles : « Le Numérique en 7 familles », France Travail. Rattachements pôle → famille indicatifs, à valider.</t>
  </si>
  <si>
    <t>Tu es plus créatif(ve) quand on te laisse choisir ta façon de faire ?</t>
  </si>
  <si>
    <t>3 Design, développement, test et ops ; 2 Robotique et IoT ; 4 Data et IA ; 5 Marketing digital</t>
  </si>
  <si>
    <t>Développeur·se d'applications ; UX / UI designer ; Expert·e en IA ; Community manager</t>
  </si>
  <si>
    <t>Arts plastiques ; Technologie ; Mathématiques ; Français</t>
  </si>
  <si>
    <t>Tu aimes présenter ton travail devant la classe ?</t>
  </si>
  <si>
    <t>Community manager ; Technico-commercial·e tech ; Chef·fe de projet digital ; UX / UI designer</t>
  </si>
  <si>
    <t>Français ; Anglais ; Arts plastiques ; Enseignement moral et civique</t>
  </si>
  <si>
    <t>Tu retiens mieux quand tu apprends seul(e) ?</t>
  </si>
  <si>
    <t>4 Data et IA ; 6 Cybersécurité ; 2 Robotique et IoT ; 3 Développement</t>
  </si>
  <si>
    <t>Expert·e en IA ; Data scientist ; Pentesteur·se ; Spécialiste robotique</t>
  </si>
  <si>
    <t>Mathématiques ; Physique-chimie ; Technologie ; Anglais</t>
  </si>
  <si>
    <t>Tu aimes t'occuper du matériel son et vidéo ?</t>
  </si>
  <si>
    <t>1 Infrastructures, cloud et réseaux ; 2 Robotique et IoT ; 4 Data et IA ; 6 Cybersécurité</t>
  </si>
  <si>
    <t>Développeur·se d'applications ; Spécialiste robotique ; Pentesteur·se ; Spécialiste systèmes, réseaux et cloud</t>
  </si>
  <si>
    <t>Mathématiques ; Technologie ; Physique-chimie ; Anglais</t>
  </si>
  <si>
    <t>Tu travailles mieux avec un modèle précis à suivre ?</t>
  </si>
  <si>
    <t>6 Cybersécurité ; 3 Test et qualité ; 1 Maintien en condition opérationnelle ; 4 Data et IA</t>
  </si>
  <si>
    <t>Testeur·se et ingénieur·e qualité ; Pentesteur·se ; Data scientist ; Délégué·e à la protection des données</t>
  </si>
  <si>
    <t>Mathématiques ; Technologie ; Français ; Anglais</t>
  </si>
  <si>
    <t>Tu préfères préparer le matériel pendant qu'un autre présente ?</t>
  </si>
  <si>
    <t>1 Infrastructures, cloud et réseaux ; 6 Cybersécurité ; 4 Data et IA ; 3 Développement</t>
  </si>
  <si>
    <t>Développeur·se back-end ; Spécialiste systèmes, réseaux et cloud ; Pentesteur·se ; Data scientist</t>
  </si>
  <si>
    <t>Tu apprends mieux en discutant avec d'autres ?</t>
  </si>
  <si>
    <t>7 Stratégie et gestion de projet ; 1 Infrastructures (exploitation) ; 5 Marketing digital</t>
  </si>
  <si>
    <t>Chef·fe de projet digital ; Technico-commercial·e tech ; Community manager ; Développeur·se back-end</t>
  </si>
  <si>
    <t>Français ; Anglais ; Mathématiques ; Histoire-géographie</t>
  </si>
  <si>
    <t>Tu te demandes si les gens vont aimer un objet ?</t>
  </si>
  <si>
    <t>Tu travailles mieux sous la pression de la dernière minute ?</t>
  </si>
  <si>
    <t>Tu dis franchement ce que tu penses, même si ça crée de la tension ?</t>
  </si>
  <si>
    <t>Tu te passionnes à fond pour un sujet jusqu'à tout savoir dessus ?</t>
  </si>
  <si>
    <t>Tu aimes fouiller dans les réglages pour réparer un bug ?</t>
  </si>
  <si>
    <t>Tu travailles mieux quand tout est préparé à l'avance ?</t>
  </si>
  <si>
    <t>Tu laisses passer un désaccord pour garder le calme ?</t>
  </si>
  <si>
    <t>Tu aimes répartir les rôles dans un groupe ?</t>
  </si>
  <si>
    <t>Tu aimes captiver ceux qui t'écoutent ?</t>
  </si>
  <si>
    <t>Tu aimes inventer de nouvelles règles de jeu ?</t>
  </si>
  <si>
    <t>Tu es motivé(e) quand on voit ce que tu as créé ?</t>
  </si>
  <si>
    <t>Tu prends seul(e) la partie difficile d'un projet ?</t>
  </si>
  <si>
    <t>Tu testes tous les boutons d'un nouvel appareil ?</t>
  </si>
  <si>
    <t>Tu aimes connaître et faire respecter les règles d'un jeu ?</t>
  </si>
  <si>
    <t>Tu travailles bien dans ton coin, sans montrer ton travail ?</t>
  </si>
  <si>
    <t>Tu aimes lancer un projet avec plusieurs amis ?</t>
  </si>
  <si>
    <t>Tu devines ce qui fera plaisir aux autres en les observant ?</t>
  </si>
  <si>
    <t>Tu bricoles une solution avec ce que tu as sous la main ?</t>
  </si>
  <si>
    <t>Tu aimes gérer la musique et les lumières en coulisses ?</t>
  </si>
  <si>
    <t>Tu aimes être capitaine d'équipe ?</t>
  </si>
  <si>
    <t>Tu veux comprendre comment un jeu vidéo est fabriqué ?</t>
  </si>
  <si>
    <t>Tu cherches méthodiquement la cause d'un problème ?</t>
  </si>
  <si>
    <t>Tu aimes accueillir et lancer l'ambiance ?</t>
  </si>
  <si>
    <t>Tu veux devenir le ou la spécialiste d'un sujet ?</t>
  </si>
  <si>
    <t>Code V1 (4 lettres)</t>
  </si>
  <si>
    <t>Métier à présenter</t>
  </si>
  <si>
    <t>Profil RIASEC (V2)</t>
  </si>
  <si>
    <t>Description accessible collégiens</t>
  </si>
  <si>
    <t>Étape de l'anniversaire (image concrète)</t>
  </si>
  <si>
    <t>Voies de formation (pistes, à confirmer sur l'Onisep)</t>
  </si>
  <si>
    <t>Origine</t>
  </si>
  <si>
    <t>Statut</t>
  </si>
  <si>
    <t>Famille de rattachement principale</t>
  </si>
  <si>
    <t>Famille de rattachement secondaire</t>
  </si>
  <si>
    <t>Mission principale 1</t>
  </si>
  <si>
    <t>Mission principale 2</t>
  </si>
  <si>
    <t>Stage de 3ᵉ intéressant</t>
  </si>
  <si>
    <t>2 entreprises où postuler (à vérifier)</t>
  </si>
  <si>
    <t>Salaire annuel brut débutant (ordre de grandeur)</t>
  </si>
  <si>
    <t>Durée des études après le bac</t>
  </si>
  <si>
    <t>2 qualités clés</t>
  </si>
  <si>
    <t>TIVE</t>
  </si>
  <si>
    <t>Développeur·se d'applications</t>
  </si>
  <si>
    <t>I-R</t>
  </si>
  <si>
    <t>Crée des jeux vidéo, des applications pour smartphones ou des logiciels en écrivant du code informatique.</t>
  </si>
  <si>
    <t>Réalisation : programme la page d'invitation</t>
  </si>
  <si>
    <t>Résoudre avec méthode ; Créer et innover ; Apprendre à apprendre</t>
  </si>
  <si>
    <t>Mathématiques ; Technologie ; Arts plastiques ; Anglais</t>
  </si>
  <si>
    <t>BTS SIO option SLAM ; BUT Informatique ; école d'ingénieurs ou d'informatique</t>
  </si>
  <si>
    <t>UX / UI designer</t>
  </si>
  <si>
    <t>Fichier de Joelle (Opiiec)</t>
  </si>
  <si>
    <t>À valider</t>
  </si>
  <si>
    <t>3 – Design, développement, test et ops</t>
  </si>
  <si>
    <t>2 – Robotique et objets connectés (IoT)</t>
  </si>
  <si>
    <t>Écrire le code des applications</t>
  </si>
  <si>
    <t>Corriger et améliorer le logiciel</t>
  </si>
  <si>
    <t>Équipe de développement ou studio de jeux vidéo</t>
  </si>
  <si>
    <t>Ubisoft ; Dassault Systèmes</t>
  </si>
  <si>
    <t>33 – 40 k€</t>
  </si>
  <si>
    <t>3 à 5 ans</t>
  </si>
  <si>
    <t>Logique et persévérance</t>
  </si>
  <si>
    <t>TIVK</t>
  </si>
  <si>
    <t>Spécialiste robotique et automatisation</t>
  </si>
  <si>
    <t>R-I</t>
  </si>
  <si>
    <t>Conçoit, fabrique et programme des robots capables d'aider les humains ou d'exécuter des tâches automatiques.</t>
  </si>
  <si>
    <t>Animation : construit un petit robot qui sert les boissons aux invités</t>
  </si>
  <si>
    <t>Résoudre avec méthode ; Créer et innover ; Coopérer en équipe</t>
  </si>
  <si>
    <t>Technologie ; Mathématiques ; Physique-chimie ; Arts plastiques</t>
  </si>
  <si>
    <t>Bac pro Systèmes numériques ; BUT Génie électrique et informatique industrielle ; école d'ingénieurs</t>
  </si>
  <si>
    <t>Concevoir et monter des robots</t>
  </si>
  <si>
    <t>Programmer leurs mouvements</t>
  </si>
  <si>
    <t>Atelier de robotique ou bureau d'études</t>
  </si>
  <si>
    <t>Schneider Electric ; Naval Group</t>
  </si>
  <si>
    <t>35 – 42 k€</t>
  </si>
  <si>
    <t>5 ans</t>
  </si>
  <si>
    <t>Esprit pratique et minutie</t>
  </si>
  <si>
    <t>TICE</t>
  </si>
  <si>
    <t>Expert·e en intelligence artificielle</t>
  </si>
  <si>
    <t>I-A</t>
  </si>
  <si>
    <t>Crée des programmes intelligents capables d'apprendre seuls, d'analyser des images ou de discuter comme des humains.</t>
  </si>
  <si>
    <t>Personnalisation : suggère une playlist selon les goûts des invités</t>
  </si>
  <si>
    <t>Analyser et raisonner ; Apprendre à apprendre ; Créer et innover</t>
  </si>
  <si>
    <t>BUT Science des données ; licence puis master ; école d'ingénieurs</t>
  </si>
  <si>
    <t>Data scientist</t>
  </si>
  <si>
    <t>4 – Data et IA</t>
  </si>
  <si>
    <t>Entraîner des programmes intelligents</t>
  </si>
  <si>
    <t>Vérifier qu'ils ne se trompent pas</t>
  </si>
  <si>
    <t>Équipe data ou IA d'une entreprise</t>
  </si>
  <si>
    <t>Dataiku ; Criteo</t>
  </si>
  <si>
    <t>42 – 55 k€</t>
  </si>
  <si>
    <t>Curiosité et esprit d'analyse</t>
  </si>
  <si>
    <t>TICK</t>
  </si>
  <si>
    <t>Développeur·se back-end</t>
  </si>
  <si>
    <t>I-C</t>
  </si>
  <si>
    <t>Programme la partie cachée des applications : serveurs, bases de données et services.</t>
  </si>
  <si>
    <t>Coulisses : enregistre les réponses des invités</t>
  </si>
  <si>
    <t>Résoudre avec méthode ; Coopérer en équipe ; Analyser et raisonner</t>
  </si>
  <si>
    <t>Mathématiques ; Technologie ; Anglais ; Français</t>
  </si>
  <si>
    <t>BTS SIO option SLAM ; BUT Informatique ; école d'ingénieurs</t>
  </si>
  <si>
    <t>Spécialiste systèmes, réseaux et cloud</t>
  </si>
  <si>
    <t>Proposition ajoutée</t>
  </si>
  <si>
    <t>1 – Infrastructures, cloud et réseaux</t>
  </si>
  <si>
    <t>Programmer serveurs et bases de données</t>
  </si>
  <si>
    <t>Faire communiquer les applications</t>
  </si>
  <si>
    <t>Équipe de développement d'une application connue</t>
  </si>
  <si>
    <t>Doctolib ; Sopra Steria</t>
  </si>
  <si>
    <t>Logique et rigueur</t>
  </si>
  <si>
    <t>TFVE</t>
  </si>
  <si>
    <t>Fouille dans des montagnes de données et de chiffres pour y découvrir des informations cachées grâce aux maths.</t>
  </si>
  <si>
    <t>Bilan : montre ce qui a plu aux invités avec des graphiques</t>
  </si>
  <si>
    <t>Analyser et raisonner ; Communiquer et expliquer ; Résoudre avec méthode</t>
  </si>
  <si>
    <t>Mathématiques ; Histoire-géographie ; Français ; Technologie</t>
  </si>
  <si>
    <t>7 – Stratégie et gestion de projet</t>
  </si>
  <si>
    <t>Analyser les chiffres et les données</t>
  </si>
  <si>
    <t>Montrer les résultats en graphiques</t>
  </si>
  <si>
    <t>Équipe data ou études statistiques</t>
  </si>
  <si>
    <t>Criteo ; Orange</t>
  </si>
  <si>
    <t>40 – 50 k€</t>
  </si>
  <si>
    <t>Esprit d'analyse et clarté</t>
  </si>
  <si>
    <t>TFVK</t>
  </si>
  <si>
    <t>Testeur·se et ingénieur·e qualité</t>
  </si>
  <si>
    <t>C-I</t>
  </si>
  <si>
    <t>Teste les logiciels en équipe pour trouver les défauts avant les utilisateurs.</t>
  </si>
  <si>
    <t>Répétition générale : teste l'appli d'invitation sur plusieurs téléphones</t>
  </si>
  <si>
    <t>Analyser et raisonner ; Coopérer en équipe ; Communiquer et expliquer</t>
  </si>
  <si>
    <t>BTS SIO ; BUT Informatique ; formations spécialisées en test logiciel</t>
  </si>
  <si>
    <t>6 – Cybersécurité et sûreté des systèmes d'information</t>
  </si>
  <si>
    <t>Tester les logiciels avant leur sortie</t>
  </si>
  <si>
    <t>Signaler et suivre les bugs</t>
  </si>
  <si>
    <t>Équipe qualité d'un éditeur de logiciels ou de jeux</t>
  </si>
  <si>
    <t>Capgemini ; Ubisoft</t>
  </si>
  <si>
    <t>32 – 38 k€</t>
  </si>
  <si>
    <t>2 à 5 ans</t>
  </si>
  <si>
    <t>Minutie et patience</t>
  </si>
  <si>
    <t>TFCE</t>
  </si>
  <si>
    <t>Pentesteur·se / analyste cybersécurité</t>
  </si>
  <si>
    <t>Joue au cyber-détective : essaie de s'introduire dans les systèmes pour trouver leurs failles de sécurité et les protéger.</t>
  </si>
  <si>
    <t>Protection : sécurise la liste d'invités et les photos partagées</t>
  </si>
  <si>
    <t>Analyser et raisonner ; Résoudre avec méthode ; Apprendre à apprendre</t>
  </si>
  <si>
    <t>Mathématiques ; Technologie ; Anglais ; Enseignement moral et civique</t>
  </si>
  <si>
    <t>BTS CIEL ; BUT Réseaux et télécommunications parcours cybersécurité ; école d'ingénieurs</t>
  </si>
  <si>
    <t>Délégué·e à la protection des données (DPO)</t>
  </si>
  <si>
    <t>Chercher les failles d'un système</t>
  </si>
  <si>
    <t>Expliquer comment les corriger</t>
  </si>
  <si>
    <t>Équipe sécurité informatique</t>
  </si>
  <si>
    <t>Orange Cyberdefense ; Thales</t>
  </si>
  <si>
    <t>38 – 48 k€</t>
  </si>
  <si>
    <t>Ruse et éthique</t>
  </si>
  <si>
    <t>TFCK</t>
  </si>
  <si>
    <t>R-C</t>
  </si>
  <si>
    <t>Installe et entretient serveurs, réseaux et connexions internet pour que tout le monde reste connecté.</t>
  </si>
  <si>
    <t>Jour J : garde le Wi-Fi et l'appli en ligne même si tous les invités se connectent</t>
  </si>
  <si>
    <t>Résoudre avec méthode ; Coopérer en équipe ; S'adapter et rebondir</t>
  </si>
  <si>
    <t>Bac pro Systèmes numériques ; BTS SIO option SISR ; BUT Réseaux et télécommunications ; école d'ingénieurs</t>
  </si>
  <si>
    <t>Installer réseaux, serveurs et cloud</t>
  </si>
  <si>
    <t>Surveiller que tout fonctionne</t>
  </si>
  <si>
    <t>Salle serveurs ou service informatique</t>
  </si>
  <si>
    <t>OVHcloud ; Orange</t>
  </si>
  <si>
    <t>Rigueur et sang-froid</t>
  </si>
  <si>
    <t>HIVE</t>
  </si>
  <si>
    <t>A-I</t>
  </si>
  <si>
    <t>Imagine le visuel, les couleurs et la facilité d'utilisation des sites web et des applications mobiles.</t>
  </si>
  <si>
    <t>Conception : dessine l'écran d'invitation</t>
  </si>
  <si>
    <t>Créer et innover ; Communiquer et expliquer ; Apprendre à apprendre</t>
  </si>
  <si>
    <t>Arts plastiques ; Français ; Technologie ; Histoire-géographie</t>
  </si>
  <si>
    <t>BUT Métiers du multimédia et de l'internet ; DN MADE numérique ; écoles de design</t>
  </si>
  <si>
    <t>Community manager</t>
  </si>
  <si>
    <t>5 – Marketing digital, communication et e-commerce</t>
  </si>
  <si>
    <t>Dessiner des écrans simples à utiliser</t>
  </si>
  <si>
    <t>Tester avec de vrais utilisateurs</t>
  </si>
  <si>
    <t>Studio de design ou agence web</t>
  </si>
  <si>
    <t>Doctolib ; Publicis</t>
  </si>
  <si>
    <t>32 – 40 k€</t>
  </si>
  <si>
    <t>Créativité et sens de l'écoute</t>
  </si>
  <si>
    <t>HIVK</t>
  </si>
  <si>
    <t>S-A</t>
  </si>
  <si>
    <t>Anime et gère la communauté d'une marque ou d'un jeu vidéo sur les réseaux sociaux.</t>
  </si>
  <si>
    <t>Communication : anime le groupe des invités et répond à leurs questions avant la fête</t>
  </si>
  <si>
    <t>Communiquer et expliquer ; Créer et innover ; S'adapter et rebondir</t>
  </si>
  <si>
    <t>BUT Information-communication ou Métiers du multimédia ; licence information-communication</t>
  </si>
  <si>
    <t>Chef·fe de projet digital</t>
  </si>
  <si>
    <t>Animer les réseaux sociaux</t>
  </si>
  <si>
    <t>Répondre à la communauté</t>
  </si>
  <si>
    <t>Agence de communication ou service communication</t>
  </si>
  <si>
    <t>Havas ; Publicis</t>
  </si>
  <si>
    <t>27 – 33 k€</t>
  </si>
  <si>
    <t>Dynamisme et sens du contact</t>
  </si>
  <si>
    <t>HICE</t>
  </si>
  <si>
    <t>Responsable Green IT / éco-conception</t>
  </si>
  <si>
    <t>S-I</t>
  </si>
  <si>
    <t>Supervise la technologie pour qu'elle consomme moins d'énergie et soit plus écologique.</t>
  </si>
  <si>
    <t>Bilan : réduit l'énergie et le gaspillage de la fête numérique (écrans, serveurs)</t>
  </si>
  <si>
    <t>Analyser et raisonner ; Se connaître et s'engager ; Communiquer et expliquer</t>
  </si>
  <si>
    <t>SVT ; Technologie ; Physique-chimie ; Mathématiques</t>
  </si>
  <si>
    <t>BUT Informatique ou Génie industriel ; école d'ingénieurs avec option numérique responsable</t>
  </si>
  <si>
    <t>Réduire l'énergie du numérique</t>
  </si>
  <si>
    <t>Concevoir des services plus sobres</t>
  </si>
  <si>
    <t>Équipe numérique responsable d'un grand groupe</t>
  </si>
  <si>
    <t>Capgemini ; Orange</t>
  </si>
  <si>
    <t>36 – 45 k€</t>
  </si>
  <si>
    <t>Conscience écologique et esprit de synthèse</t>
  </si>
  <si>
    <t>HICK</t>
  </si>
  <si>
    <t>Ingénieur·e e-santé</t>
  </si>
  <si>
    <t>Développe des technologies numériques (applications, capteurs) pour aider les médecins et soigner les malades.</t>
  </si>
  <si>
    <t>Prévention : prévoit une appli qui signale les ingrédients à éviter pour chaque invité</t>
  </si>
  <si>
    <t>Coopérer en équipe ; Communiquer et expliquer ; Se connaître et s'engager</t>
  </si>
  <si>
    <t>SVT ; Mathématiques ; Technologie ; Français</t>
  </si>
  <si>
    <t>BUT Informatique ou GEII ; école d'ingénieurs avec spécialité santé ; master informatique de santé</t>
  </si>
  <si>
    <t>Créer des outils numériques pour la santé</t>
  </si>
  <si>
    <t>Protéger les données des patients</t>
  </si>
  <si>
    <t>Équipe numérique d'un hôpital ou d'une entreprise de santé</t>
  </si>
  <si>
    <t>Doctolib ; Sanofi</t>
  </si>
  <si>
    <t>Empathie et rigueur</t>
  </si>
  <si>
    <t>HFVE</t>
  </si>
  <si>
    <t>Technicien·ne informatique</t>
  </si>
  <si>
    <t>R-S</t>
  </si>
  <si>
    <t>Le dépanneur de la tech : répare les ordinateurs, installe le matériel et aide les utilisateurs en difficulté.</t>
  </si>
  <si>
    <t>Jour J : dépanne un invité qui n'arrive pas à se connecter</t>
  </si>
  <si>
    <t>Communiquer et expliquer ; Résoudre avec méthode ; S'adapter et rebondir</t>
  </si>
  <si>
    <t>Technologie ; Français ; Anglais ; Mathématiques</t>
  </si>
  <si>
    <t>Bac pro Systèmes numériques ; BTS SIO option SISR ; BUT Réseaux et télécommunications</t>
  </si>
  <si>
    <t>Installer et dépanner le matériel</t>
  </si>
  <si>
    <t>Aider les utilisateurs</t>
  </si>
  <si>
    <t>Service d'assistance informatique</t>
  </si>
  <si>
    <t>Orange ; Bouygues Telecom</t>
  </si>
  <si>
    <t>26 – 32 k€</t>
  </si>
  <si>
    <t>2 à 3 ans</t>
  </si>
  <si>
    <t>Patience et sens du service</t>
  </si>
  <si>
    <t>HFVK</t>
  </si>
  <si>
    <t>Technico-commercial·e tech</t>
  </si>
  <si>
    <t>E-R</t>
  </si>
  <si>
    <t>Explique et vend des solutions informatiques à des entreprises en comprenant parfaitement leur fonctionnement technique.</t>
  </si>
  <si>
    <t>Préparation : convainc un prestataire (salle, sono) de proposer la meilleure solution au bon prix</t>
  </si>
  <si>
    <t>Communiquer et expliquer ; S'adapter et rebondir ; Coopérer en équipe</t>
  </si>
  <si>
    <t>Français ; Anglais ; Mathématiques ; Technologie</t>
  </si>
  <si>
    <t>BTS Technico-commercial ; BUT Techniques de commercialisation ; école de commerce ou d'ingénieurs</t>
  </si>
  <si>
    <t>Vendre des solutions numériques</t>
  </si>
  <si>
    <t>Conseiller et suivre les clients</t>
  </si>
  <si>
    <t>Service commercial d'une entreprise du numérique</t>
  </si>
  <si>
    <t>Orange Business ; Schneider Electric</t>
  </si>
  <si>
    <t>32 – 42 k€ (fixe + variable)</t>
  </si>
  <si>
    <t>Aisance à l'oral et sens du contact</t>
  </si>
  <si>
    <t>HFCE</t>
  </si>
  <si>
    <t>C-S</t>
  </si>
  <si>
    <t>Veille à ce que les entreprises respectent les lois et protègent la vie privée et les données personnelles.</t>
  </si>
  <si>
    <t>Protection : vérifie que les photos sont partagées avec l'accord des invités</t>
  </si>
  <si>
    <t>Français ; Histoire-géographie ; Enseignement moral et civique ; Anglais</t>
  </si>
  <si>
    <t>Licence de droit puis master droit du numérique ; passerelles depuis l'informatique</t>
  </si>
  <si>
    <t>Protéger les données personnelles</t>
  </si>
  <si>
    <t>Faire respecter la loi (RGPD)</t>
  </si>
  <si>
    <t>Service juridique ou conformité</t>
  </si>
  <si>
    <t>CNIL ; Orange</t>
  </si>
  <si>
    <t>Rigueur et discrétion</t>
  </si>
  <si>
    <t>HFCK</t>
  </si>
  <si>
    <t>E-S</t>
  </si>
  <si>
    <t>Chef d'orchestre du numérique : coordonne les équipes (développeurs, designers) pour créer un site ou une appli à temps.</t>
  </si>
  <si>
    <t>Pilotage : coordonne lieu, budget et prestataires pour tenir la date</t>
  </si>
  <si>
    <t>Coopérer en équipe ; Communiquer et expliquer ; Résoudre avec méthode</t>
  </si>
  <si>
    <t>Mathématiques ; Français ; Anglais ; Histoire-géographie</t>
  </si>
  <si>
    <t>BUT ou licence puis master ; école d'ingénieurs ou de commerce</t>
  </si>
  <si>
    <t>Diriger et organiser les projets</t>
  </si>
  <si>
    <t>Tenir les délais et le budget</t>
  </si>
  <si>
    <t>Chef de projet dans une entreprise de services numériques</t>
  </si>
  <si>
    <t>Capgemini ; Sopra Steria</t>
  </si>
  <si>
    <t>Leadership et sens de l'organisation</t>
  </si>
  <si>
    <t>Salaires : ordres de grandeur bruts annuels pour un début de carrière en France, hors primes, à confirmer (APEC, Opiiec, Onisep). Durées : après le bac, selon la voie choisie (BTS/BUT 2-3 ans, master ou école d'ingénieurs 5 ans). Entreprises : exemples, à vérifier.</t>
  </si>
  <si>
    <t>Domaines couverts</t>
  </si>
  <si>
    <t>Métiers du jeu rattachés (famille principale)</t>
  </si>
  <si>
    <t>Métiers du jeu voisins (famille voisine)</t>
  </si>
  <si>
    <t>Pôles les plus associés</t>
  </si>
  <si>
    <t>Cursus d'étude le plus adapté (à confirmer sur l'Onisep)</t>
  </si>
  <si>
    <t>Matières indispensables au lycée</t>
  </si>
  <si>
    <t>Matières souhaitables</t>
  </si>
  <si>
    <t>Infrastructures, cloud et réseaux</t>
  </si>
  <si>
    <t>Systèmes, réseaux et serveurs ; datacenter ; cloud ; maintien en condition opérationnelle et assistance</t>
  </si>
  <si>
    <t>Spécialiste systèmes, réseaux et cloud (TFCK) ; Responsable Green IT / éco-conception (HICE) ; Technicien·ne informatique (HFVE)</t>
  </si>
  <si>
    <t>Développeur·se back-end (TICK) ; Pentesteur·se / analyste cybersécurité (TFCE)</t>
  </si>
  <si>
    <t>T, C, F, K</t>
  </si>
  <si>
    <t>Bac général (spécialités Maths + NSI ou Physique-chimie), bac STI2D ou bac pro Systèmes numériques → BTS SIO option SISR, BTS CIEL ou BUT Réseaux et télécommunications → licence pro ou école d'ingénieurs.</t>
  </si>
  <si>
    <t>Faire fonctionner réseaux et serveurs</t>
  </si>
  <si>
    <t>Dépanner et assister les utilisateurs</t>
  </si>
  <si>
    <t>Mathématiques ; Numérique et sciences informatiques (NSI)</t>
  </si>
  <si>
    <t>Physique-chimie ; Anglais ; Technologie</t>
  </si>
  <si>
    <t>Observer l'équipe informatique d'une entreprise ou d'une mairie : câblage, serveurs, dépannage</t>
  </si>
  <si>
    <t>Orange ; OVHcloud</t>
  </si>
  <si>
    <t>Logique et sens du service</t>
  </si>
  <si>
    <t>Robotique et objets connectés (IoT)</t>
  </si>
  <si>
    <t>Écosystèmes connectés ; systèmes embarqués</t>
  </si>
  <si>
    <t>Spécialiste robotique et automatisation (TIVK)</t>
  </si>
  <si>
    <t>Développeur·se d'applications (TIVE) ; Ingénieur·e e-santé (HICK)</t>
  </si>
  <si>
    <t>T, I, E</t>
  </si>
  <si>
    <t>Bac STI2D (SIN ou ITEC) ou bac général (Maths + Physique-chimie + NSI) → BUT Génie électrique et informatique industrielle ou BUT Mesures physiques → école d'ingénieurs (électronique, systèmes embarqués) ou classe prépa.</t>
  </si>
  <si>
    <t>Concevoir des objets connectés</t>
  </si>
  <si>
    <t>Programmer les objets intelligents</t>
  </si>
  <si>
    <t>Mathématiques ; Physique-chimie ; Sciences de l'ingénieur ou NSI</t>
  </si>
  <si>
    <t>Anglais ; Technologie ; Arts plastiques</t>
  </si>
  <si>
    <t>Atelier de robotique ou d'électronique, bureau d'études</t>
  </si>
  <si>
    <t>Thales ; Schneider Electric</t>
  </si>
  <si>
    <t>Curiosité et esprit d'invention</t>
  </si>
  <si>
    <t>Design, développement, test et ops</t>
  </si>
  <si>
    <t>Jumeau numérique / BIM ; UX et design ; analyse, ingénierie et développement ; qualité, test, homologation ; DevOps et industrialisation</t>
  </si>
  <si>
    <t>Développeur·se d'applications (TIVE) ; Développeur·se back-end (TICK) ; Testeur·se et ingénieur·e qualité (TFVK) ; UX / UI designer (HIVE)</t>
  </si>
  <si>
    <t>Spécialiste robotique et automatisation (TIVK) ; Expert·e en intelligence artificielle (TICE) ; Chef·fe de projet digital (HFCK)</t>
  </si>
  <si>
    <t>I, T, F, V</t>
  </si>
  <si>
    <t>Bac général (Maths + NSI), bac STI2D ou bac STD2A pour le design → BUT Informatique, BTS SIO option SLAM, BUT Métiers du multimédia et de l'internet ou DN MADE numérique → licence, master ou école d'ingénieurs.</t>
  </si>
  <si>
    <t>Créer des applications faciles à utiliser</t>
  </si>
  <si>
    <t>Tester pour supprimer les bugs</t>
  </si>
  <si>
    <t>Mathématiques ; NSI (ou Arts plastiques pour le design)</t>
  </si>
  <si>
    <t>Anglais ; Français ; Arts plastiques</t>
  </si>
  <si>
    <t>Équipe de développement, studio de jeux vidéo ou agence web</t>
  </si>
  <si>
    <t>Créativité et persévérance</t>
  </si>
  <si>
    <t>Data et IA</t>
  </si>
  <si>
    <t>Ingénierie des données ; analyse des données et IA ; informatique décisionnelle</t>
  </si>
  <si>
    <t>Expert·e en intelligence artificielle (TICE) ; Data scientist (TFVE) ; Ingénieur·e e-santé (HICK)</t>
  </si>
  <si>
    <t>T, C, E, F</t>
  </si>
  <si>
    <t>Bac général (Maths + NSI ou Physique-chimie) → BUT Science des données ou licence Maths-Informatique → master Data/IA ou école d'ingénieurs.</t>
  </si>
  <si>
    <t>Entraîner des programmes à prévoir</t>
  </si>
  <si>
    <t>Mathématiques ; NSI</t>
  </si>
  <si>
    <t>Anglais ; Physique-chimie ; Sciences économiques et sociales ; Français</t>
  </si>
  <si>
    <t>Équipe data d'une entreprise ou d'une administration</t>
  </si>
  <si>
    <t>Esprit d'analyse et curiosité</t>
  </si>
  <si>
    <t>Marketing digital, communication et e-commerce</t>
  </si>
  <si>
    <t>E-commerce ; acquisition de trafic et visibilité ; marketing digital ; médias sociaux et influence ; relation client</t>
  </si>
  <si>
    <t>Community manager (HIVK) ; Technico-commercial·e tech (HFVK)</t>
  </si>
  <si>
    <t>UX / UI designer (HIVE) ; Technicien·ne informatique (HFVE)</t>
  </si>
  <si>
    <t>H, V, I</t>
  </si>
  <si>
    <t>Bac général (SES, HLP, Anglais renforcé) ou bac STMG → BUT Métiers du multimédia et de l'internet, BUT Techniques de commercialisation ou BTS Communication → licence, master ou école de commerce ou de communication.</t>
  </si>
  <si>
    <t>Vendre et communiquer sur internet</t>
  </si>
  <si>
    <t>Écouter et fidéliser les clients</t>
  </si>
  <si>
    <t>Français ; Anglais</t>
  </si>
  <si>
    <t>Sciences économiques et sociales ; Arts plastiques ; Mathématiques</t>
  </si>
  <si>
    <t>Agence de communication ou service e-commerce</t>
  </si>
  <si>
    <t>Publicis ; Havas</t>
  </si>
  <si>
    <t>Cybersécurité et sûreté des systèmes d'information</t>
  </si>
  <si>
    <t>Gouvernance, risques et conformité ; ingénierie et sécurisation ; défense opérationnelle ; audit et évaluation</t>
  </si>
  <si>
    <t>Pentesteur·se / analyste cybersécurité (TFCE) ; Délégué·e à la protection des données (DPO) (HFCE)</t>
  </si>
  <si>
    <t>Testeur·se et ingénieur·e qualité (TFVK) ; Spécialiste systèmes, réseaux et cloud (TFCK)</t>
  </si>
  <si>
    <t>F, C, T, E</t>
  </si>
  <si>
    <t>Bac général (Maths + NSI), bac STI2D ou bac pro Systèmes numériques → BTS CIEL, BUT Réseaux et télécommunications parcours cybersécurité → licence pro, master cyber ou école d'ingénieurs.</t>
  </si>
  <si>
    <t>Protéger les données des pirates</t>
  </si>
  <si>
    <t>Détecter les attaques et réparer</t>
  </si>
  <si>
    <t>Anglais ; Physique-chimie ; Histoire-géographie, géopolitique et sciences politiques</t>
  </si>
  <si>
    <t>Équipe sécurité informatique d'un grand groupe</t>
  </si>
  <si>
    <t>Orange Cyberdefense ; Airbus</t>
  </si>
  <si>
    <t>Rigueur et vigilance</t>
  </si>
  <si>
    <t>Stratégie et gestion de projet</t>
  </si>
  <si>
    <t>Direction et gouvernance ; pilotage de projets et PMO ; pilotage produit et agilité ; expertise fonctionnelle</t>
  </si>
  <si>
    <t>Chef·fe de projet digital (HFCK)</t>
  </si>
  <si>
    <t>Data scientist (TFVE) ; Community manager (HIVK) ; Responsable Green IT / éco-conception (HICE) ; Technico-commercial·e tech (HFVK) ; Délégué·e à la protection des données (DPO) (HFCE)</t>
  </si>
  <si>
    <t>K, H, V</t>
  </si>
  <si>
    <t>Bac général (Maths, SES, HGGSP, Anglais) ou bac STMG → BUT Informatique, Gestion des entreprises ou Techniques de commercialisation → licence puis master, école d'ingénieurs ou de commerce.</t>
  </si>
  <si>
    <t>Français ; Mathématiques</t>
  </si>
  <si>
    <t>Anglais ; Sciences économiques et sociales ; Histoire-géographie, géopolitique et sciences politiques</t>
  </si>
  <si>
    <t>Source : France Travail, « Le Numérique en 7 familles ». Le rattachement des 16 métiers aux familles est une proposition de travail à valider avec l'équipe et un conseiller d'orientation.</t>
  </si>
  <si>
    <t>Cursus et matières : propositions de travail, à confirmer sur l'Onisep et auprès d'un conseiller d'orientation (les spécialités proposées varient selon les lycées).</t>
  </si>
  <si>
    <t>Entreprises citées à titre d'exemples : vérifier qu'elles accueillent des élèves de 3ᵉ (plateforme officielle : monstagedetroisieme.fr) ; une mairie, une PME locale ou un parent peuvent aussi accueillir.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</si>
</sst>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8"/>
      <color rgb="FF10194D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0000FF"/>
      <name val="Arial"/>
      <family val="2"/>
    </font>
    <font>
      <b/>
      <sz val="14"/>
      <color rgb="FF10194D"/>
      <name val="Arial"/>
      <family val="2"/>
    </font>
    <font>
      <b/>
      <sz val="16"/>
      <color rgb="FFE1000F"/>
      <name val="Arial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EF1FA"/>
        <bgColor rgb="FFDDE3F7"/>
      </patternFill>
    </fill>
    <fill>
      <patternFill patternType="solid">
        <fgColor rgb="FF10194D"/>
        <bgColor rgb="FF000080"/>
      </patternFill>
    </fill>
    <fill>
      <patternFill patternType="solid">
        <fgColor rgb="FFFFFF00"/>
        <bgColor rgb="FFFFFF00"/>
      </patternFill>
    </fill>
    <fill>
      <patternFill patternType="solid">
        <fgColor rgb="FFDDE3F7"/>
        <bgColor rgb="FFEEF1FA"/>
      </patternFill>
    </fill>
    <fill>
      <patternFill patternType="solid">
        <fgColor rgb="FFFFF2CC"/>
        <bgColor rgb="FFEEF1FA"/>
      </patternFill>
    </fill>
  </fills>
  <borders count="3">
    <border>
      <left/>
      <right/>
      <top/>
      <bottom/>
      <diagonal/>
    </border>
    <border>
      <left style="thin">
        <color rgb="FFC5CCF2"/>
      </left>
      <right style="thin">
        <color rgb="FFC5CCF2"/>
      </right>
      <top style="thin">
        <color rgb="FFC5CCF2"/>
      </top>
      <bottom style="thin">
        <color rgb="FFC5CCF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/>
    <xf numFmtId="0" fontId="2" fillId="5" borderId="1" xfId="0" applyFont="1" applyFill="1" applyBorder="1" applyAlignment="1">
      <alignment vertical="center" wrapText="1"/>
    </xf>
    <xf numFmtId="0" fontId="8" fillId="0" borderId="0" xfId="0" applyFont="1"/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9" fillId="3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1000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1FA"/>
      <rgbColor rgb="FF660066"/>
      <rgbColor rgb="FFFF8080"/>
      <rgbColor rgb="FF0066CC"/>
      <rgbColor rgb="FFC5CC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3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0194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tabSelected="1" zoomScaleNormal="100" workbookViewId="0">
      <selection sqref="A1:B1"/>
    </sheetView>
  </sheetViews>
  <sheetFormatPr baseColWidth="10" defaultColWidth="8.6640625" defaultRowHeight="15" x14ac:dyDescent="0.2"/>
  <cols>
    <col min="1" max="1" width="30" customWidth="1"/>
    <col min="2" max="2" width="105" customWidth="1"/>
  </cols>
  <sheetData>
    <row r="1" spans="1:2" ht="31.5" customHeight="1" x14ac:dyDescent="0.25">
      <c r="A1" s="5" t="s">
        <v>0</v>
      </c>
      <c r="B1" s="5"/>
    </row>
    <row r="3" spans="1:2" ht="67.5" customHeight="1" x14ac:dyDescent="0.2">
      <c r="A3" s="6" t="s">
        <v>1</v>
      </c>
      <c r="B3" s="7" t="s">
        <v>2</v>
      </c>
    </row>
    <row r="4" spans="1:2" ht="37.5" customHeight="1" x14ac:dyDescent="0.2">
      <c r="A4" s="6" t="s">
        <v>3</v>
      </c>
      <c r="B4" s="7" t="s">
        <v>4</v>
      </c>
    </row>
    <row r="5" spans="1:2" ht="67.5" customHeight="1" x14ac:dyDescent="0.2">
      <c r="A5" s="6" t="s">
        <v>5</v>
      </c>
      <c r="B5" s="7" t="s">
        <v>6</v>
      </c>
    </row>
    <row r="6" spans="1:2" ht="37.5" customHeight="1" x14ac:dyDescent="0.2">
      <c r="A6" s="6" t="s">
        <v>7</v>
      </c>
      <c r="B6" s="7" t="s">
        <v>8</v>
      </c>
    </row>
    <row r="7" spans="1:2" ht="52.5" customHeight="1" x14ac:dyDescent="0.2">
      <c r="A7" s="6" t="s">
        <v>9</v>
      </c>
      <c r="B7" s="7" t="s">
        <v>10</v>
      </c>
    </row>
    <row r="8" spans="1:2" ht="37.5" customHeight="1" x14ac:dyDescent="0.2">
      <c r="A8" s="6" t="s">
        <v>11</v>
      </c>
      <c r="B8" s="7" t="s">
        <v>12</v>
      </c>
    </row>
    <row r="9" spans="1:2" ht="37.5" customHeight="1" x14ac:dyDescent="0.2">
      <c r="A9" s="6" t="s">
        <v>13</v>
      </c>
      <c r="B9" s="7" t="s">
        <v>14</v>
      </c>
    </row>
    <row r="10" spans="1:2" ht="37.5" customHeight="1" x14ac:dyDescent="0.2">
      <c r="A10" s="6" t="s">
        <v>15</v>
      </c>
      <c r="B10" s="7" t="s">
        <v>16</v>
      </c>
    </row>
    <row r="11" spans="1:2" ht="67.5" customHeight="1" x14ac:dyDescent="0.2">
      <c r="A11" s="6" t="s">
        <v>17</v>
      </c>
      <c r="B11" s="7" t="s">
        <v>18</v>
      </c>
    </row>
    <row r="12" spans="1:2" ht="52.5" customHeight="1" x14ac:dyDescent="0.2">
      <c r="A12" s="6" t="s">
        <v>19</v>
      </c>
      <c r="B12" s="7" t="s">
        <v>20</v>
      </c>
    </row>
    <row r="13" spans="1:2" ht="37.5" customHeight="1" x14ac:dyDescent="0.2">
      <c r="A13" s="6" t="s">
        <v>21</v>
      </c>
      <c r="B13" s="7" t="s">
        <v>22</v>
      </c>
    </row>
    <row r="14" spans="1:2" ht="39" customHeight="1" x14ac:dyDescent="0.2">
      <c r="A14" s="6" t="s">
        <v>23</v>
      </c>
      <c r="B14" s="7" t="s">
        <v>24</v>
      </c>
    </row>
    <row r="15" spans="1:2" ht="26.25" customHeight="1" x14ac:dyDescent="0.2">
      <c r="A15" s="6" t="s">
        <v>25</v>
      </c>
      <c r="B15" s="7" t="s">
        <v>26</v>
      </c>
    </row>
    <row r="16" spans="1:2" ht="26.25" customHeight="1" x14ac:dyDescent="0.2">
      <c r="A16" s="6" t="s">
        <v>27</v>
      </c>
      <c r="B16" s="7" t="s">
        <v>28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2" width="6" customWidth="1"/>
    <col min="3" max="3" width="75" customWidth="1"/>
    <col min="4" max="4" width="14" customWidth="1"/>
    <col min="5" max="5" width="10" customWidth="1"/>
    <col min="6" max="6" width="12" customWidth="1"/>
    <col min="7" max="7" width="3" customWidth="1"/>
    <col min="8" max="8" width="8" customWidth="1"/>
    <col min="9" max="9" width="24" customWidth="1"/>
    <col min="10" max="10" width="10" customWidth="1"/>
    <col min="11" max="11" width="11" customWidth="1"/>
    <col min="12" max="12" width="10" customWidth="1"/>
    <col min="13" max="13" width="11" customWidth="1"/>
    <col min="14" max="14" width="12" customWidth="1"/>
  </cols>
  <sheetData>
    <row r="1" spans="1:14" ht="26.25" customHeight="1" x14ac:dyDescent="0.2">
      <c r="A1" s="8" t="s">
        <v>29</v>
      </c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  <c r="H1" s="8" t="s">
        <v>30</v>
      </c>
      <c r="I1" s="8" t="s">
        <v>35</v>
      </c>
      <c r="J1" s="8" t="s">
        <v>36</v>
      </c>
      <c r="K1" s="8" t="s">
        <v>37</v>
      </c>
      <c r="L1" s="8" t="s">
        <v>38</v>
      </c>
      <c r="M1" s="8" t="s">
        <v>39</v>
      </c>
      <c r="N1" s="8" t="s">
        <v>40</v>
      </c>
    </row>
    <row r="2" spans="1:14" ht="78" customHeight="1" x14ac:dyDescent="0.2">
      <c r="A2" s="9">
        <f>Questions!A2</f>
        <v>1</v>
      </c>
      <c r="B2" s="9">
        <f>Questions!B2</f>
        <v>1</v>
      </c>
      <c r="C2" s="7" t="str">
        <f>Questions!D2&amp;CHAR(10)&amp;Questions!G2</f>
        <v>C'est en accueillant les invités d'une fête, en veillant à ce que chacun se sente bien, que tu donnes le meilleur de toi.
Exemple : pour l'anniversaire de ton meilleur ami, tu es à la porte, tu salues chaque invité, tu présentes ceux qui ne se connaissent pas et tu veilles à ce que personne ne reste seul dans son coin.</v>
      </c>
      <c r="D2" s="10" t="s">
        <v>41</v>
      </c>
      <c r="E2" s="9" t="str">
        <f>Questions!E2</f>
        <v>H</v>
      </c>
      <c r="F2" s="9" t="str">
        <f>IF(Questions!F2="Oui",B2,"")</f>
        <v/>
      </c>
      <c r="H2" s="9">
        <v>1</v>
      </c>
      <c r="I2" s="11" t="str">
        <f>Axes!B2</f>
        <v>Ce qui m'attire</v>
      </c>
      <c r="J2" s="9" t="str">
        <f>Axes!D2</f>
        <v>H</v>
      </c>
      <c r="K2" s="9">
        <f>COUNTIFS($B$2:$B$33,H2,$E$2:$E$33,J2,$D$2:$D$33,"Oui")</f>
        <v>4</v>
      </c>
      <c r="L2" s="9" t="str">
        <f>Axes!F2</f>
        <v>T</v>
      </c>
      <c r="M2" s="9">
        <f>COUNTIFS($B$2:$B$33,H2,$E$2:$E$33,L2,$D$2:$D$33,"Oui")</f>
        <v>0</v>
      </c>
      <c r="N2" s="12" t="str">
        <f>IF(COUNTA($D$2:$D$33)&lt;32,"?",IF(K2&gt;M2,J2,IF(M2&gt;K2,L2,IF(INDEX($D$2:$D$33,MATCH(H2,$F$2:$F$33,0))="Oui",INDEX($E$2:$E$33,MATCH(H2,$F$2:$F$33,0)),IF(INDEX($E$2:$E$33,MATCH(H2,$F$2:$F$33,0))=J2,L2,J2)))))</f>
        <v>H</v>
      </c>
    </row>
    <row r="3" spans="1:14" ht="78" customHeight="1" x14ac:dyDescent="0.2">
      <c r="A3" s="9">
        <f>Questions!A3</f>
        <v>2</v>
      </c>
      <c r="B3" s="9">
        <f>Questions!B3</f>
        <v>2</v>
      </c>
      <c r="C3" s="7" t="str">
        <f>Questions!D3&amp;CHAR(10)&amp;Questions!G3</f>
        <v>C'est quand un prof te laisse choisir librement comment présenter ton travail que tu produis tes meilleurs résultats.
Exemple : le prof dit « Présentez ce thème comme vous voulez : affiche, vidéo, saynète… ». Tu choisis ton format et tu te lances.</v>
      </c>
      <c r="D3" s="10" t="s">
        <v>41</v>
      </c>
      <c r="E3" s="9" t="str">
        <f>Questions!E3</f>
        <v>I</v>
      </c>
      <c r="F3" s="9" t="str">
        <f>IF(Questions!F3="Oui",B3,"")</f>
        <v/>
      </c>
      <c r="H3" s="9">
        <v>2</v>
      </c>
      <c r="I3" s="11" t="str">
        <f>Axes!B3</f>
        <v>Ma démarche</v>
      </c>
      <c r="J3" s="9" t="str">
        <f>Axes!D3</f>
        <v>I</v>
      </c>
      <c r="K3" s="9">
        <f>COUNTIFS($B$2:$B$33,H3,$E$2:$E$33,J3,$D$2:$D$33,"Oui")</f>
        <v>4</v>
      </c>
      <c r="L3" s="9" t="str">
        <f>Axes!F3</f>
        <v>F</v>
      </c>
      <c r="M3" s="9">
        <f>COUNTIFS($B$2:$B$33,H3,$E$2:$E$33,L3,$D$2:$D$33,"Oui")</f>
        <v>0</v>
      </c>
      <c r="N3" s="12" t="str">
        <f>IF(COUNTA($D$2:$D$33)&lt;32,"?",IF(K3&gt;M3,J3,IF(M3&gt;K3,L3,IF(INDEX($D$2:$D$33,MATCH(H3,$F$2:$F$33,0))="Oui",INDEX($E$2:$E$33,MATCH(H3,$F$2:$F$33,0)),IF(INDEX($E$2:$E$33,MATCH(H3,$F$2:$F$33,0))=J3,L3,J3)))))</f>
        <v>I</v>
      </c>
    </row>
    <row r="4" spans="1:14" ht="78" customHeight="1" x14ac:dyDescent="0.2">
      <c r="A4" s="9">
        <f>Questions!A4</f>
        <v>3</v>
      </c>
      <c r="B4" s="9">
        <f>Questions!B4</f>
        <v>3</v>
      </c>
      <c r="C4" s="7" t="str">
        <f>Questions!D4&amp;CHAR(10)&amp;Questions!G4</f>
        <v>C'est quand tu présentes ton travail devant la classe que tu donnes le meilleur de toi.
Exemple : ton groupe a fini son exposé et tu te lèves devant la classe pour le présenter.</v>
      </c>
      <c r="D4" s="10" t="s">
        <v>41</v>
      </c>
      <c r="E4" s="9" t="str">
        <f>Questions!E4</f>
        <v>V</v>
      </c>
      <c r="F4" s="9" t="str">
        <f>IF(Questions!F4="Oui",B4,"")</f>
        <v/>
      </c>
      <c r="H4" s="9">
        <v>3</v>
      </c>
      <c r="I4" s="11" t="str">
        <f>Axes!B4</f>
        <v>Mon terrain</v>
      </c>
      <c r="J4" s="9" t="str">
        <f>Axes!D4</f>
        <v>V</v>
      </c>
      <c r="K4" s="9">
        <f>COUNTIFS($B$2:$B$33,H4,$E$2:$E$33,J4,$D$2:$D$33,"Oui")</f>
        <v>4</v>
      </c>
      <c r="L4" s="9" t="str">
        <f>Axes!F4</f>
        <v>C</v>
      </c>
      <c r="M4" s="9">
        <f>COUNTIFS($B$2:$B$33,H4,$E$2:$E$33,L4,$D$2:$D$33,"Oui")</f>
        <v>0</v>
      </c>
      <c r="N4" s="12" t="str">
        <f>IF(COUNTA($D$2:$D$33)&lt;32,"?",IF(K4&gt;M4,J4,IF(M4&gt;K4,L4,IF(INDEX($D$2:$D$33,MATCH(H4,$F$2:$F$33,0))="Oui",INDEX($E$2:$E$33,MATCH(H4,$F$2:$F$33,0)),IF(INDEX($E$2:$E$33,MATCH(H4,$F$2:$F$33,0))=J4,L4,J4)))))</f>
        <v>V</v>
      </c>
    </row>
    <row r="5" spans="1:14" ht="78" customHeight="1" x14ac:dyDescent="0.2">
      <c r="A5" s="9">
        <f>Questions!A5</f>
        <v>4</v>
      </c>
      <c r="B5" s="9">
        <f>Questions!B5</f>
        <v>4</v>
      </c>
      <c r="C5" s="7" t="str">
        <f>Questions!D5&amp;CHAR(10)&amp;Questions!G5</f>
        <v>C'est quand tu apprends seul(e) que tu retiens le mieux.
Exemple : tu veux apprendre une nouvelle technique de dessin ou un nouveau tour de magie. Tu regardes un tutoriel et tu t'entraînes seul(e) jusqu'à y arriver.</v>
      </c>
      <c r="D5" s="10" t="s">
        <v>41</v>
      </c>
      <c r="E5" s="9" t="str">
        <f>Questions!E5</f>
        <v>E</v>
      </c>
      <c r="F5" s="9" t="str">
        <f>IF(Questions!F5="Oui",B5,"")</f>
        <v/>
      </c>
      <c r="H5" s="9">
        <v>4</v>
      </c>
      <c r="I5" s="11" t="str">
        <f>Axes!B5</f>
        <v>Ma façon de travailler</v>
      </c>
      <c r="J5" s="9" t="str">
        <f>Axes!D5</f>
        <v>E</v>
      </c>
      <c r="K5" s="9">
        <f>COUNTIFS($B$2:$B$33,H5,$E$2:$E$33,J5,$D$2:$D$33,"Oui")</f>
        <v>4</v>
      </c>
      <c r="L5" s="9" t="str">
        <f>Axes!F5</f>
        <v>K</v>
      </c>
      <c r="M5" s="9">
        <f>COUNTIFS($B$2:$B$33,H5,$E$2:$E$33,L5,$D$2:$D$33,"Oui")</f>
        <v>0</v>
      </c>
      <c r="N5" s="12" t="str">
        <f>IF(COUNTA($D$2:$D$33)&lt;32,"?",IF(K5&gt;M5,J5,IF(M5&gt;K5,L5,IF(INDEX($D$2:$D$33,MATCH(H5,$F$2:$F$33,0))="Oui",INDEX($E$2:$E$33,MATCH(H5,$F$2:$F$33,0)),IF(INDEX($E$2:$E$33,MATCH(H5,$F$2:$F$33,0))=J5,L5,J5)))))</f>
        <v>E</v>
      </c>
    </row>
    <row r="6" spans="1:14" ht="78" customHeight="1" x14ac:dyDescent="0.2">
      <c r="A6" s="9">
        <f>Questions!A6</f>
        <v>5</v>
      </c>
      <c r="B6" s="9">
        <f>Questions!B6</f>
        <v>1</v>
      </c>
      <c r="C6" s="7" t="str">
        <f>Questions!D6&amp;CHAR(10)&amp;Questions!G6</f>
        <v>C'est en t'occupant de la sono et du vidéoprojecteur d'une fête que tu donnes le meilleur de toi.
Exemple : le jour de l'anniversaire, tu branches la sono, tu règles le son et tu fais marcher le vidéoprojecteur pour le diaporama de photos.</v>
      </c>
      <c r="D6" s="10" t="s">
        <v>42</v>
      </c>
      <c r="E6" s="9" t="str">
        <f>Questions!E6</f>
        <v>T</v>
      </c>
      <c r="F6" s="9" t="str">
        <f>IF(Questions!F6="Oui",B6,"")</f>
        <v/>
      </c>
    </row>
    <row r="7" spans="1:14" ht="78" customHeight="1" x14ac:dyDescent="0.2">
      <c r="A7" s="9">
        <f>Questions!A7</f>
        <v>6</v>
      </c>
      <c r="B7" s="9">
        <f>Questions!B7</f>
        <v>2</v>
      </c>
      <c r="C7" s="7" t="str">
        <f>Questions!D7&amp;CHAR(10)&amp;Questions!G7</f>
        <v>C'est quand un prof te donne un modèle précis à suivre étape par étape que tu produis tes meilleurs résultats.
Exemple : le prof donne une fiche : un titre, trois parties, une conclusion, avec la longueur de chacune. Tu suis les étapes une par une.</v>
      </c>
      <c r="D7" s="10" t="s">
        <v>42</v>
      </c>
      <c r="E7" s="9" t="str">
        <f>Questions!E7</f>
        <v>F</v>
      </c>
      <c r="F7" s="9" t="str">
        <f>IF(Questions!F7="Oui",B7,"")</f>
        <v/>
      </c>
      <c r="H7" s="13" t="s">
        <v>43</v>
      </c>
    </row>
    <row r="8" spans="1:14" ht="25.5" customHeight="1" x14ac:dyDescent="0.2">
      <c r="A8" s="9">
        <f>Questions!A8</f>
        <v>7</v>
      </c>
      <c r="B8" s="9">
        <f>Questions!B8</f>
        <v>3</v>
      </c>
      <c r="C8" s="7" t="str">
        <f>Questions!D8&amp;CHAR(10)&amp;Questions!G8</f>
        <v>C'est quand tu prépares le matériel pendant qu'un autre présente que tu donnes le meilleur de toi.
Exemple : pendant qu'un camarade présente, toi tu as préparé les diapositives, les documents et le matériel, et tu les passes au bon moment.</v>
      </c>
      <c r="D8" s="10" t="s">
        <v>42</v>
      </c>
      <c r="E8" s="9" t="str">
        <f>Questions!E8</f>
        <v>C</v>
      </c>
      <c r="F8" s="9" t="str">
        <f>IF(Questions!F8="Oui",B8,"")</f>
        <v/>
      </c>
      <c r="H8" s="4" t="s">
        <v>44</v>
      </c>
      <c r="I8" s="4"/>
      <c r="J8" s="3" t="str">
        <f>IF(SUMPRODUCT(--(N2:N5="?"))&gt;0,"",N2&amp;N3&amp;N4&amp;N5)</f>
        <v>HIVE</v>
      </c>
      <c r="K8" s="3"/>
      <c r="L8" s="3"/>
      <c r="M8" s="3"/>
      <c r="N8" s="3"/>
    </row>
    <row r="9" spans="1:14" ht="25.5" customHeight="1" x14ac:dyDescent="0.2">
      <c r="A9" s="9">
        <f>Questions!A9</f>
        <v>8</v>
      </c>
      <c r="B9" s="9">
        <f>Questions!B9</f>
        <v>4</v>
      </c>
      <c r="C9" s="7" t="str">
        <f>Questions!D9&amp;CHAR(10)&amp;Questions!G9</f>
        <v>C'est en discutant avec d'autres que tu apprends le mieux.
Exemple : tu révises un chapitre de maths. Tu en parles avec un ami et vous vous expliquez les points difficiles.</v>
      </c>
      <c r="D9" s="10" t="s">
        <v>42</v>
      </c>
      <c r="E9" s="9" t="str">
        <f>Questions!E9</f>
        <v>K</v>
      </c>
      <c r="F9" s="9" t="str">
        <f>IF(Questions!F9="Oui",B9,"")</f>
        <v/>
      </c>
      <c r="H9" s="4" t="s">
        <v>45</v>
      </c>
      <c r="I9" s="4"/>
      <c r="J9" s="2" t="str">
        <f>IFERROR(INDEX(Metiers!$B$2:$B$17,MATCH($J$8,Metiers!$A$2:$A$17,0)),"Réponds aux 32 questions")</f>
        <v>UX / UI designer</v>
      </c>
      <c r="K9" s="2"/>
      <c r="L9" s="2"/>
      <c r="M9" s="2"/>
      <c r="N9" s="2"/>
    </row>
    <row r="10" spans="1:14" ht="31.5" customHeight="1" x14ac:dyDescent="0.2">
      <c r="A10" s="9">
        <f>Questions!A10</f>
        <v>9</v>
      </c>
      <c r="B10" s="9">
        <f>Questions!B10</f>
        <v>1</v>
      </c>
      <c r="C10" s="7" t="str">
        <f>Questions!D10&amp;CHAR(10)&amp;Questions!G10</f>
        <v>C'est quand tu te demandes à qui sert un objet et si les gens l'aimeront que tu as tes meilleures idées.
Exemple : on te montre une montre connectée. Ta première réaction : « Qui s'en servirait ? Mes grands-parents ? Mes amis sportifs ? Est-ce qu'ils aimeraient ça ? »</v>
      </c>
      <c r="D10" s="10" t="s">
        <v>41</v>
      </c>
      <c r="E10" s="9" t="str">
        <f>Questions!E10</f>
        <v>H</v>
      </c>
      <c r="F10" s="9" t="str">
        <f>IF(Questions!F10="Oui",B10,"")</f>
        <v/>
      </c>
      <c r="H10" s="4" t="s">
        <v>46</v>
      </c>
      <c r="I10" s="4"/>
      <c r="J10" s="1" t="str">
        <f>IFERROR(INDEX(Metiers!$D$2:$D$17,MATCH($J$8,Metiers!$A$2:$A$17,0)),"")</f>
        <v>Imagine le visuel, les couleurs et la facilité d'utilisation des sites web et des applications mobiles.</v>
      </c>
      <c r="K10" s="1"/>
      <c r="L10" s="1"/>
      <c r="M10" s="1"/>
      <c r="N10" s="1"/>
    </row>
    <row r="11" spans="1:14" ht="31.5" customHeight="1" x14ac:dyDescent="0.2">
      <c r="A11" s="9">
        <f>Questions!A11</f>
        <v>10</v>
      </c>
      <c r="B11" s="9">
        <f>Questions!B11</f>
        <v>2</v>
      </c>
      <c r="C11" s="7" t="str">
        <f>Questions!D11&amp;CHAR(10)&amp;Questions!G11</f>
        <v>C'est à la dernière minute que tu produis les meilleurs résultats.
Exemple : un devoir est à rendre demain matin. Tu t'y mets la veille au soir, et c'est là que tes meilleures idées arrivent.</v>
      </c>
      <c r="D11" s="10" t="s">
        <v>41</v>
      </c>
      <c r="E11" s="9" t="str">
        <f>Questions!E11</f>
        <v>I</v>
      </c>
      <c r="F11" s="9" t="str">
        <f>IF(Questions!F11="Oui",B11,"")</f>
        <v/>
      </c>
      <c r="H11" s="4" t="s">
        <v>47</v>
      </c>
      <c r="I11" s="4"/>
      <c r="J11" s="1" t="str">
        <f>IFERROR(INDEX(Metiers!$E$2:$E$17,MATCH($J$8,Metiers!$A$2:$A$17,0)),"")</f>
        <v>Conception : dessine l'écran d'invitation</v>
      </c>
      <c r="K11" s="1"/>
      <c r="L11" s="1"/>
      <c r="M11" s="1"/>
      <c r="N11" s="1"/>
    </row>
    <row r="12" spans="1:14" ht="31.5" customHeight="1" x14ac:dyDescent="0.2">
      <c r="A12" s="9">
        <f>Questions!A12</f>
        <v>11</v>
      </c>
      <c r="B12" s="9">
        <f>Questions!B12</f>
        <v>3</v>
      </c>
      <c r="C12" s="7" t="str">
        <f>Questions!D12&amp;CHAR(10)&amp;Questions!G12</f>
        <v>C'est en disant clairement ce que tu penses, même si ça crée de la tension, que tu défends le mieux tes idées.
Exemple : en débat, un camarade n'est pas d'accord avec toi. Tu expliques clairement pourquoi tu penses autrement, même si la discussion devient tendue.</v>
      </c>
      <c r="D12" s="10" t="s">
        <v>41</v>
      </c>
      <c r="E12" s="9" t="str">
        <f>Questions!E12</f>
        <v>V</v>
      </c>
      <c r="F12" s="9" t="str">
        <f>IF(Questions!F12="Oui",B12,"")</f>
        <v/>
      </c>
      <c r="H12" s="4" t="s">
        <v>48</v>
      </c>
      <c r="I12" s="4"/>
      <c r="J12" s="1" t="str">
        <f>IFERROR(INDEX(Metiers!$F$2:$F$17,MATCH($J$8,Metiers!$A$2:$A$17,0)),"")</f>
        <v>Créer et innover ; Communiquer et expliquer ; Apprendre à apprendre</v>
      </c>
      <c r="K12" s="1"/>
      <c r="L12" s="1"/>
      <c r="M12" s="1"/>
      <c r="N12" s="1"/>
    </row>
    <row r="13" spans="1:14" ht="31.5" customHeight="1" x14ac:dyDescent="0.2">
      <c r="A13" s="9">
        <f>Questions!A13</f>
        <v>12</v>
      </c>
      <c r="B13" s="9">
        <f>Questions!B13</f>
        <v>4</v>
      </c>
      <c r="C13" s="7" t="str">
        <f>Questions!D13&amp;CHAR(10)&amp;Questions!G13</f>
        <v>C'est quand tu te plonges à fond dans un sujet qui te passionne que tu deviens le plus fort(e).
Exemple : tu découvres un sujet qui te passionne (dinosaures, code, musique) et tu y passes tes week-ends jusqu'à tout savoir dessus.</v>
      </c>
      <c r="D13" s="10" t="s">
        <v>41</v>
      </c>
      <c r="E13" s="9" t="str">
        <f>Questions!E13</f>
        <v>E</v>
      </c>
      <c r="F13" s="9" t="str">
        <f>IF(Questions!F13="Oui",B13,"")</f>
        <v/>
      </c>
      <c r="H13" s="4" t="s">
        <v>49</v>
      </c>
      <c r="I13" s="4"/>
      <c r="J13" s="1" t="str">
        <f>IFERROR(INDEX(Metiers!$G$2:$G$17,MATCH($J$8,Metiers!$A$2:$A$17,0)),"")</f>
        <v>Arts plastiques ; Français ; Technologie ; Histoire-géographie</v>
      </c>
      <c r="K13" s="1"/>
      <c r="L13" s="1"/>
      <c r="M13" s="1"/>
      <c r="N13" s="1"/>
    </row>
    <row r="14" spans="1:14" ht="31.5" customHeight="1" x14ac:dyDescent="0.2">
      <c r="A14" s="9">
        <f>Questions!A14</f>
        <v>13</v>
      </c>
      <c r="B14" s="9">
        <f>Questions!B14</f>
        <v>1</v>
      </c>
      <c r="C14" s="7" t="str">
        <f>Questions!D14&amp;CHAR(10)&amp;Questions!G14</f>
        <v>C'est quand ton téléphone bugue et que tu fouilles dans les réglages que tu es le plus efficace.
Exemple : ton téléphone se fige en plein jeu. Tu ouvres les réglages, tu testes plusieurs options et tu continues jusqu'à ce qu'il remarche.</v>
      </c>
      <c r="D14" s="10" t="s">
        <v>42</v>
      </c>
      <c r="E14" s="9" t="str">
        <f>Questions!E14</f>
        <v>T</v>
      </c>
      <c r="F14" s="9" t="str">
        <f>IF(Questions!F14="Oui",B14,"")</f>
        <v/>
      </c>
      <c r="H14" s="4" t="s">
        <v>50</v>
      </c>
      <c r="I14" s="4"/>
      <c r="J14" s="1" t="str">
        <f>IFERROR(INDEX(Metiers!$H$2:$H$17,MATCH($J$8,Metiers!$A$2:$A$17,0)),"")</f>
        <v>BUT Métiers du multimédia et de l'internet ; DN MADE numérique ; écoles de design</v>
      </c>
      <c r="K14" s="1"/>
      <c r="L14" s="1"/>
      <c r="M14" s="1"/>
      <c r="N14" s="1"/>
    </row>
    <row r="15" spans="1:14" ht="31.5" customHeight="1" x14ac:dyDescent="0.2">
      <c r="A15" s="9">
        <f>Questions!A15</f>
        <v>14</v>
      </c>
      <c r="B15" s="9">
        <f>Questions!B15</f>
        <v>2</v>
      </c>
      <c r="C15" s="7" t="str">
        <f>Questions!D15&amp;CHAR(10)&amp;Questions!G15</f>
        <v>C'est quand tu as pu tout préparer à l'avance que tu produis les meilleurs résultats.
Exemple : un devoir est à rendre dans une semaine. Tu le prépares par étapes dès les premiers jours et tu rends un travail dont tu es content(e).</v>
      </c>
      <c r="D15" s="10" t="s">
        <v>42</v>
      </c>
      <c r="E15" s="9" t="str">
        <f>Questions!E15</f>
        <v>F</v>
      </c>
      <c r="F15" s="9" t="str">
        <f>IF(Questions!F15="Oui",B15,"")</f>
        <v/>
      </c>
      <c r="H15" s="4" t="s">
        <v>51</v>
      </c>
      <c r="I15" s="4"/>
      <c r="J15" s="1" t="str">
        <f>IFERROR(INDEX(Metiers!$I$2:$I$17,MATCH($J$8,Metiers!$A$2:$A$17,0)),"")</f>
        <v>Community manager</v>
      </c>
      <c r="K15" s="1"/>
      <c r="L15" s="1"/>
      <c r="M15" s="1"/>
      <c r="N15" s="1"/>
    </row>
    <row r="16" spans="1:14" ht="31.5" customHeight="1" x14ac:dyDescent="0.2">
      <c r="A16" s="9">
        <f>Questions!A16</f>
        <v>15</v>
      </c>
      <c r="B16" s="9">
        <f>Questions!B16</f>
        <v>3</v>
      </c>
      <c r="C16" s="7" t="str">
        <f>Questions!D16&amp;CHAR(10)&amp;Questions!G16</f>
        <v>C'est quand tu laisses passer un désaccord en classe pour garder le calme que tu te sens le mieux.
Exemple : en classe, quelqu'un te contredit. Tu choisis de ne pas insister pour que la discussion reste calme.</v>
      </c>
      <c r="D16" s="10" t="s">
        <v>42</v>
      </c>
      <c r="E16" s="9" t="str">
        <f>Questions!E16</f>
        <v>C</v>
      </c>
      <c r="F16" s="9" t="str">
        <f>IF(Questions!F16="Oui",B16,"")</f>
        <v/>
      </c>
      <c r="H16" s="4" t="s">
        <v>52</v>
      </c>
      <c r="I16" s="4"/>
      <c r="J16" s="1" t="str">
        <f>IF(COUNTA($D$2:$D$33)&lt;32,"",IF(OR(COUNTIF($D$2:$D$33,"Oui")&gt;=26,COUNTIF($D$2:$D$33,"Oui")&lt;=6),"Attention : presque que des Oui (ou que des Non), résultat peu fiable","Réponses variées : résultat exploitable"))</f>
        <v>Réponses variées : résultat exploitable</v>
      </c>
      <c r="K16" s="1"/>
      <c r="L16" s="1"/>
      <c r="M16" s="1"/>
      <c r="N16" s="1"/>
    </row>
    <row r="17" spans="1:10" ht="78" customHeight="1" x14ac:dyDescent="0.2">
      <c r="A17" s="9">
        <f>Questions!A17</f>
        <v>16</v>
      </c>
      <c r="B17" s="9">
        <f>Questions!B17</f>
        <v>4</v>
      </c>
      <c r="C17" s="7" t="str">
        <f>Questions!D17&amp;CHAR(10)&amp;Questions!G17</f>
        <v>C'est en répartissant les rôles et en coordonnant tout le monde que tu fais le mieux avancer un projet de groupe.
Exemple : dans un projet de groupe, tu dis « Toi tu cherches, toi tu rédiges, toi tu fais l'affiche » et tu suis l'avancement de chacun.</v>
      </c>
      <c r="D17" s="10" t="s">
        <v>42</v>
      </c>
      <c r="E17" s="9" t="str">
        <f>Questions!E17</f>
        <v>K</v>
      </c>
      <c r="F17" s="9" t="str">
        <f>IF(Questions!F17="Oui",B17,"")</f>
        <v/>
      </c>
    </row>
    <row r="18" spans="1:10" ht="78" customHeight="1" x14ac:dyDescent="0.2">
      <c r="A18" s="9">
        <f>Questions!A18</f>
        <v>17</v>
      </c>
      <c r="B18" s="9">
        <f>Questions!B18</f>
        <v>1</v>
      </c>
      <c r="C18" s="7" t="str">
        <f>Questions!D18&amp;CHAR(10)&amp;Questions!G18</f>
        <v>C'est quand tu dois captiver ceux qui t'écoutent (exposé, présentation) que tu produis tes meilleurs résultats.
Exemple : tu dois présenter un exposé à la classe. Tu cherches une accroche, une anecdote ou une question pour que tout le monde écoute jusqu'au bout.</v>
      </c>
      <c r="D18" s="10" t="s">
        <v>41</v>
      </c>
      <c r="E18" s="9" t="str">
        <f>Questions!E18</f>
        <v>H</v>
      </c>
      <c r="F18" s="9" t="str">
        <f>IF(Questions!F18="Oui",B18,"")</f>
        <v/>
      </c>
      <c r="H18" s="15" t="s">
        <v>53</v>
      </c>
    </row>
    <row r="19" spans="1:10" ht="78" customHeight="1" x14ac:dyDescent="0.2">
      <c r="A19" s="9">
        <f>Questions!A19</f>
        <v>18</v>
      </c>
      <c r="B19" s="9">
        <f>Questions!B19</f>
        <v>2</v>
      </c>
      <c r="C19" s="7" t="str">
        <f>Questions!D19&amp;CHAR(10)&amp;Questions!G19</f>
        <v>C'est en inventant une nouvelle règle ou une nouvelle version d'un jeu de société que tu t'amuses le plus.
Exemple : en jouant au Uno ou au Monopoly, tu proposes une règle de ton invention (un défi, un bonus) pour pimenter la partie.</v>
      </c>
      <c r="D19" s="10" t="s">
        <v>41</v>
      </c>
      <c r="E19" s="9" t="str">
        <f>Questions!E19</f>
        <v>I</v>
      </c>
      <c r="F19" s="9" t="str">
        <f>IF(Questions!F19="Oui",B19,"")</f>
        <v/>
      </c>
      <c r="H19" s="15" t="s">
        <v>54</v>
      </c>
    </row>
    <row r="20" spans="1:10" ht="78" customHeight="1" x14ac:dyDescent="0.2">
      <c r="A20" s="9">
        <f>Questions!A20</f>
        <v>19</v>
      </c>
      <c r="B20" s="9">
        <f>Questions!B20</f>
        <v>3</v>
      </c>
      <c r="C20" s="7" t="str">
        <f>Questions!D20&amp;CHAR(10)&amp;Questions!G20</f>
        <v>C'est quand on voit ce que tu as créé (dessin, projet, vidéo) que tu te sens le plus motivé(e).
Exemple : tu fais un dessin, une vidéo ou un projet de techno ; il est affiché ou partagé et les autres peuvent le voir et réagir.</v>
      </c>
      <c r="D20" s="10" t="s">
        <v>41</v>
      </c>
      <c r="E20" s="9" t="str">
        <f>Questions!E20</f>
        <v>V</v>
      </c>
      <c r="F20" s="9" t="str">
        <f>IF(Questions!F20="Oui",B20,"")</f>
        <v/>
      </c>
    </row>
    <row r="21" spans="1:10" ht="78" customHeight="1" x14ac:dyDescent="0.2">
      <c r="A21" s="9">
        <f>Questions!A21</f>
        <v>20</v>
      </c>
      <c r="B21" s="9">
        <f>Questions!B21</f>
        <v>4</v>
      </c>
      <c r="C21" s="7" t="str">
        <f>Questions!D21&amp;CHAR(10)&amp;Questions!G21</f>
        <v>C'est en prenant en charge seul(e) une partie difficile d'un projet de groupe que tu donnes le meilleur de toi.
Exemple : dans le projet de groupe, la partie la plus compliquée (le code, le calcul) ne tente personne ; tu la prends et tu la finis seul(e).</v>
      </c>
      <c r="D21" s="10" t="s">
        <v>41</v>
      </c>
      <c r="E21" s="9" t="str">
        <f>Questions!E21</f>
        <v>E</v>
      </c>
      <c r="F21" s="9" t="str">
        <f>IF(Questions!F21="Oui",B21,"")</f>
        <v/>
      </c>
      <c r="H21" s="14" t="s">
        <v>55</v>
      </c>
      <c r="J21" s="11" t="str">
        <f>IFERROR(INDEX(Metiers!$L$2:$L$17,MATCH($J$8,Metiers!$A$2:$A$17,0)),"")</f>
        <v>3 – Design, développement, test et ops</v>
      </c>
    </row>
    <row r="22" spans="1:10" ht="78" customHeight="1" x14ac:dyDescent="0.2">
      <c r="A22" s="9">
        <f>Questions!A22</f>
        <v>21</v>
      </c>
      <c r="B22" s="9">
        <f>Questions!B22</f>
        <v>1</v>
      </c>
      <c r="C22" s="7" t="str">
        <f>Questions!D22&amp;CHAR(10)&amp;Questions!G22</f>
        <v>C'est en testant tous les boutons d'un nouvel appareil que tu comprends le mieux comment il marche.
Exemple : tu reçois une enceinte ou une manette que tu ne connais pas. Tu appuies sur chaque bouton pour voir ce qui se passe, avant même d'ouvrir la notice.</v>
      </c>
      <c r="D22" s="10" t="s">
        <v>42</v>
      </c>
      <c r="E22" s="9" t="str">
        <f>Questions!E22</f>
        <v>T</v>
      </c>
      <c r="F22" s="9" t="str">
        <f>IF(Questions!F22="Oui",B22,"")</f>
        <v/>
      </c>
      <c r="H22" s="14" t="s">
        <v>56</v>
      </c>
      <c r="J22" s="11" t="str">
        <f>IFERROR(INDEX(Metiers!$M$2:$M$17,MATCH($J$8,Metiers!$A$2:$A$17,0)),"")</f>
        <v>5 – Marketing digital, communication et e-commerce</v>
      </c>
    </row>
    <row r="23" spans="1:10" ht="78" customHeight="1" x14ac:dyDescent="0.2">
      <c r="A23" s="9">
        <f>Questions!A23</f>
        <v>22</v>
      </c>
      <c r="B23" s="9">
        <f>Questions!B23</f>
        <v>2</v>
      </c>
      <c r="C23" s="7" t="str">
        <f>Questions!D23&amp;CHAR(10)&amp;Questions!G23</f>
        <v>C'est en connaissant toutes les règles d'un jeu de société et en vérifiant qu'elles sont respectées que tu t'amuses le plus.
Exemple : pendant une partie, tu connais la règle exacte et tu rappelles à tes amis qui doit jouer et comment se calculent les points.</v>
      </c>
      <c r="D23" s="10" t="s">
        <v>42</v>
      </c>
      <c r="E23" s="9" t="str">
        <f>Questions!E23</f>
        <v>F</v>
      </c>
      <c r="F23" s="9" t="str">
        <f>IF(Questions!F23="Oui",B23,"")</f>
        <v/>
      </c>
    </row>
    <row r="24" spans="1:10" ht="78" customHeight="1" x14ac:dyDescent="0.2">
      <c r="A24" s="9">
        <f>Questions!A24</f>
        <v>23</v>
      </c>
      <c r="B24" s="9">
        <f>Questions!B24</f>
        <v>3</v>
      </c>
      <c r="C24" s="7" t="str">
        <f>Questions!D24&amp;CHAR(10)&amp;Questions!G24</f>
        <v>C'est quand tu travailles dans ton coin, sans que ton travail soit forcément montré, que tu produis tes meilleurs résultats.
Exemple : tu passes un après-midi à avancer sur ton projet dans ton coin, sans le montrer avant qu'il soit fini.</v>
      </c>
      <c r="D24" s="10" t="s">
        <v>42</v>
      </c>
      <c r="E24" s="9" t="str">
        <f>Questions!E24</f>
        <v>C</v>
      </c>
      <c r="F24" s="9" t="str">
        <f>IF(Questions!F24="Oui",B24,"")</f>
        <v/>
      </c>
    </row>
    <row r="25" spans="1:10" ht="78" customHeight="1" x14ac:dyDescent="0.2">
      <c r="A25" s="9">
        <f>Questions!A25</f>
        <v>24</v>
      </c>
      <c r="B25" s="9">
        <f>Questions!B25</f>
        <v>4</v>
      </c>
      <c r="C25" s="7" t="str">
        <f>Questions!D25&amp;CHAR(10)&amp;Questions!G25</f>
        <v>C'est en lançant un projet avec plusieurs amis que tu es le plus motivé(e).
Exemple : tu proposes à tes amis de monter ensemble une chaîne vidéo, un club ou un tournoi.</v>
      </c>
      <c r="D25" s="10" t="s">
        <v>42</v>
      </c>
      <c r="E25" s="9" t="str">
        <f>Questions!E25</f>
        <v>K</v>
      </c>
      <c r="F25" s="9" t="str">
        <f>IF(Questions!F25="Oui",B25,"")</f>
        <v/>
      </c>
    </row>
    <row r="26" spans="1:10" ht="78" customHeight="1" x14ac:dyDescent="0.2">
      <c r="A26" s="9">
        <f>Questions!A26</f>
        <v>25</v>
      </c>
      <c r="B26" s="9">
        <f>Questions!B26</f>
        <v>1</v>
      </c>
      <c r="C26" s="7" t="str">
        <f>Questions!D26&amp;CHAR(10)&amp;Questions!G26</f>
        <v>C'est en observant les gens que tu devines le mieux ce qui leur ferait plaisir.
Exemple : à la cantine ou au repas de famille, tu remarques ce qu'un ami regarde ou aime, et tu en déduis le cadeau qui lui plairait.</v>
      </c>
      <c r="D26" s="10" t="s">
        <v>41</v>
      </c>
      <c r="E26" s="9" t="str">
        <f>Questions!E26</f>
        <v>H</v>
      </c>
      <c r="F26" s="9" t="str">
        <f>IF(Questions!F26="Oui",B26,"")</f>
        <v/>
      </c>
    </row>
    <row r="27" spans="1:10" ht="78" customHeight="1" x14ac:dyDescent="0.2">
      <c r="A27" s="9">
        <f>Questions!A27</f>
        <v>26</v>
      </c>
      <c r="B27" s="9">
        <f>Questions!B27</f>
        <v>2</v>
      </c>
      <c r="C27" s="7" t="str">
        <f>Questions!D27&amp;CHAR(10)&amp;Questions!G27</f>
        <v>C'est quand il manque un matériel et que tu bricoles une solution avec ce que tu as sous la main que tu es le plus à ton aise.
Exemple : pour un projet de techno, tu n'as pas de colle : tu fabriques une fixation avec du scotch, des élastiques ou du carton.</v>
      </c>
      <c r="D27" s="10" t="s">
        <v>41</v>
      </c>
      <c r="E27" s="9" t="str">
        <f>Questions!E27</f>
        <v>I</v>
      </c>
      <c r="F27" s="9" t="str">
        <f>IF(Questions!F27="Oui",B27,"")</f>
        <v/>
      </c>
    </row>
    <row r="28" spans="1:10" ht="78" customHeight="1" x14ac:dyDescent="0.2">
      <c r="A28" s="9">
        <f>Questions!A28</f>
        <v>27</v>
      </c>
      <c r="B28" s="9">
        <f>Questions!B28</f>
        <v>3</v>
      </c>
      <c r="C28" s="7" t="str">
        <f>Questions!D28&amp;CHAR(10)&amp;Questions!G28</f>
        <v>C'est en préparant tout en coulisses d'une fête (musique, lumières) que tu t'éclates le plus.
Exemple : pendant une fête, tu gères la playlist et les lumières depuis un coin de la pièce pendant que les autres dansent.</v>
      </c>
      <c r="D28" s="10" t="s">
        <v>42</v>
      </c>
      <c r="E28" s="9" t="str">
        <f>Questions!E28</f>
        <v>C</v>
      </c>
      <c r="F28" s="9" t="str">
        <f>IF(Questions!F28="Oui",B28,"")</f>
        <v/>
      </c>
    </row>
    <row r="29" spans="1:10" ht="78" customHeight="1" x14ac:dyDescent="0.2">
      <c r="A29" s="9">
        <f>Questions!A29</f>
        <v>28</v>
      </c>
      <c r="B29" s="9">
        <f>Questions!B29</f>
        <v>4</v>
      </c>
      <c r="C29" s="7" t="str">
        <f>Questions!D29&amp;CHAR(10)&amp;Questions!G29</f>
        <v>C'est en étant capitaine d'une équipe que tu donnes le meilleur de toi.
Exemple : dans un match, le capitaine choisit les postes, encourage l'équipe et parle à l'arbitre : c'est le rôle que tu prends.</v>
      </c>
      <c r="D29" s="10" t="s">
        <v>42</v>
      </c>
      <c r="E29" s="9" t="str">
        <f>Questions!E29</f>
        <v>K</v>
      </c>
      <c r="F29" s="9" t="str">
        <f>IF(Questions!F29="Oui",B29,"")</f>
        <v/>
      </c>
    </row>
    <row r="30" spans="1:10" ht="78" customHeight="1" x14ac:dyDescent="0.2">
      <c r="A30" s="9">
        <f>Questions!A30</f>
        <v>29</v>
      </c>
      <c r="B30" s="9">
        <f>Questions!B30</f>
        <v>1</v>
      </c>
      <c r="C30" s="7" t="str">
        <f>Questions!D30&amp;CHAR(10)&amp;Questions!G30</f>
        <v>C'est quand tu comprends comment un jeu vidéo est fabriqué qu'il t'intéresse le plus.
Exemple : en jouant, tu te demandes comment les développeurs ont programmé les mouvements du personnage ou la physique du jeu.</v>
      </c>
      <c r="D30" s="10" t="s">
        <v>42</v>
      </c>
      <c r="E30" s="9" t="str">
        <f>Questions!E30</f>
        <v>T</v>
      </c>
      <c r="F30" s="9">
        <f>IF(Questions!F30="Oui",B30,"")</f>
        <v>1</v>
      </c>
    </row>
    <row r="31" spans="1:10" ht="78" customHeight="1" x14ac:dyDescent="0.2">
      <c r="A31" s="9">
        <f>Questions!A31</f>
        <v>30</v>
      </c>
      <c r="B31" s="9">
        <f>Questions!B31</f>
        <v>2</v>
      </c>
      <c r="C31" s="7" t="str">
        <f>Questions!D31&amp;CHAR(10)&amp;Questions!G31</f>
        <v>C'est quand tu cherches méthodiquement ce qui cause un problème que tu es le plus efficace.
Exemple : une lampe ne s'allume plus. Tu vérifies l'ampoule, la prise, l'interrupteur, un par un, pour trouver où ça bloque.</v>
      </c>
      <c r="D31" s="10" t="s">
        <v>42</v>
      </c>
      <c r="E31" s="9" t="str">
        <f>Questions!E31</f>
        <v>F</v>
      </c>
      <c r="F31" s="9">
        <f>IF(Questions!F31="Oui",B31,"")</f>
        <v>2</v>
      </c>
    </row>
    <row r="32" spans="1:10" ht="78" customHeight="1" x14ac:dyDescent="0.2">
      <c r="A32" s="9">
        <f>Questions!A32</f>
        <v>31</v>
      </c>
      <c r="B32" s="9">
        <f>Questions!B32</f>
        <v>3</v>
      </c>
      <c r="C32" s="7" t="str">
        <f>Questions!D32&amp;CHAR(10)&amp;Questions!G32</f>
        <v>C'est en accueillant les invités et en lançant l'ambiance d'une fête que tu t'éclates le plus.
Exemple : à l'entrée de la fête, tu accueilles chaque invité avec le sourire et tu lances le premier jeu ou la première danse.</v>
      </c>
      <c r="D32" s="10" t="s">
        <v>41</v>
      </c>
      <c r="E32" s="9" t="str">
        <f>Questions!E32</f>
        <v>V</v>
      </c>
      <c r="F32" s="9">
        <f>IF(Questions!F32="Oui",B32,"")</f>
        <v>3</v>
      </c>
    </row>
    <row r="33" spans="1:6" ht="78" customHeight="1" x14ac:dyDescent="0.2">
      <c r="A33" s="9">
        <f>Questions!A33</f>
        <v>32</v>
      </c>
      <c r="B33" s="9">
        <f>Questions!B33</f>
        <v>4</v>
      </c>
      <c r="C33" s="7" t="str">
        <f>Questions!D33&amp;CHAR(10)&amp;Questions!G33</f>
        <v>C'est en devenant le ou la spécialiste de quelque chose que tu te sens le plus accompli(e).
Exemple : tu t'imagines dans dix ans : on vient te voir parce que tu es la personne qui connaît tout sur ton sujet.</v>
      </c>
      <c r="D33" s="10" t="s">
        <v>41</v>
      </c>
      <c r="E33" s="9" t="str">
        <f>Questions!E33</f>
        <v>E</v>
      </c>
      <c r="F33" s="9">
        <f>IF(Questions!F33="Oui",B33,"")</f>
        <v>4</v>
      </c>
    </row>
  </sheetData>
  <mergeCells count="18">
    <mergeCell ref="H14:I14"/>
    <mergeCell ref="J14:N14"/>
    <mergeCell ref="H15:I15"/>
    <mergeCell ref="J15:N15"/>
    <mergeCell ref="H16:I16"/>
    <mergeCell ref="J16:N16"/>
    <mergeCell ref="H11:I11"/>
    <mergeCell ref="J11:N11"/>
    <mergeCell ref="H12:I12"/>
    <mergeCell ref="J12:N12"/>
    <mergeCell ref="H13:I13"/>
    <mergeCell ref="J13:N13"/>
    <mergeCell ref="H8:I8"/>
    <mergeCell ref="J8:N8"/>
    <mergeCell ref="H9:I9"/>
    <mergeCell ref="J9:N9"/>
    <mergeCell ref="H10:I10"/>
    <mergeCell ref="J10:N10"/>
  </mergeCells>
  <dataValidations count="1">
    <dataValidation type="list" allowBlank="1" showErrorMessage="1" errorTitle="Réponse" error="Choisir Oui ou Non." sqref="D2:D33" xr:uid="{00000000-0002-0000-0100-000000000000}">
      <formula1>"Oui,Non"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zoomScaleNormal="100" workbookViewId="0"/>
  </sheetViews>
  <sheetFormatPr baseColWidth="10" defaultColWidth="8.6640625" defaultRowHeight="15" x14ac:dyDescent="0.2"/>
  <cols>
    <col min="1" max="1" width="7" customWidth="1"/>
    <col min="2" max="2" width="24" customWidth="1"/>
    <col min="3" max="3" width="34" customWidth="1"/>
    <col min="4" max="4" width="10" customWidth="1"/>
    <col min="5" max="5" width="30" customWidth="1"/>
    <col min="6" max="6" width="10" customWidth="1"/>
    <col min="7" max="8" width="34" customWidth="1"/>
    <col min="9" max="9" width="46" customWidth="1"/>
  </cols>
  <sheetData>
    <row r="1" spans="1:9" ht="26.25" customHeight="1" x14ac:dyDescent="0.2">
      <c r="A1" s="8" t="s">
        <v>30</v>
      </c>
      <c r="B1" s="8" t="s">
        <v>57</v>
      </c>
      <c r="C1" s="8" t="s">
        <v>58</v>
      </c>
      <c r="D1" s="8" t="s">
        <v>59</v>
      </c>
      <c r="E1" s="8" t="s">
        <v>36</v>
      </c>
      <c r="F1" s="8" t="s">
        <v>60</v>
      </c>
      <c r="G1" s="8" t="s">
        <v>38</v>
      </c>
      <c r="H1" s="8" t="s">
        <v>61</v>
      </c>
      <c r="I1" s="8" t="s">
        <v>62</v>
      </c>
    </row>
    <row r="2" spans="1:9" ht="61.5" customHeight="1" x14ac:dyDescent="0.2">
      <c r="A2" s="9">
        <v>1</v>
      </c>
      <c r="B2" s="16" t="s">
        <v>63</v>
      </c>
      <c r="C2" s="7" t="s">
        <v>64</v>
      </c>
      <c r="D2" s="12" t="s">
        <v>65</v>
      </c>
      <c r="E2" s="7" t="s">
        <v>66</v>
      </c>
      <c r="F2" s="12" t="s">
        <v>67</v>
      </c>
      <c r="G2" s="7" t="s">
        <v>68</v>
      </c>
      <c r="H2" s="7" t="s">
        <v>69</v>
      </c>
      <c r="I2" s="7" t="s">
        <v>70</v>
      </c>
    </row>
    <row r="3" spans="1:9" ht="61.5" customHeight="1" x14ac:dyDescent="0.2">
      <c r="A3" s="9">
        <v>2</v>
      </c>
      <c r="B3" s="16" t="s">
        <v>71</v>
      </c>
      <c r="C3" s="7" t="s">
        <v>72</v>
      </c>
      <c r="D3" s="12" t="s">
        <v>73</v>
      </c>
      <c r="E3" s="7" t="s">
        <v>74</v>
      </c>
      <c r="F3" s="12" t="s">
        <v>75</v>
      </c>
      <c r="G3" s="7" t="s">
        <v>76</v>
      </c>
      <c r="H3" s="7" t="s">
        <v>77</v>
      </c>
      <c r="I3" s="7" t="s">
        <v>78</v>
      </c>
    </row>
    <row r="4" spans="1:9" ht="61.5" customHeight="1" x14ac:dyDescent="0.2">
      <c r="A4" s="9">
        <v>3</v>
      </c>
      <c r="B4" s="16" t="s">
        <v>79</v>
      </c>
      <c r="C4" s="7" t="s">
        <v>80</v>
      </c>
      <c r="D4" s="12" t="s">
        <v>81</v>
      </c>
      <c r="E4" s="7" t="s">
        <v>82</v>
      </c>
      <c r="F4" s="12" t="s">
        <v>83</v>
      </c>
      <c r="G4" s="7" t="s">
        <v>84</v>
      </c>
      <c r="H4" s="7" t="s">
        <v>85</v>
      </c>
      <c r="I4" s="7" t="s">
        <v>86</v>
      </c>
    </row>
    <row r="5" spans="1:9" ht="61.5" customHeight="1" x14ac:dyDescent="0.2">
      <c r="A5" s="9">
        <v>4</v>
      </c>
      <c r="B5" s="16" t="s">
        <v>87</v>
      </c>
      <c r="C5" s="7" t="s">
        <v>88</v>
      </c>
      <c r="D5" s="12" t="s">
        <v>89</v>
      </c>
      <c r="E5" s="7" t="s">
        <v>90</v>
      </c>
      <c r="F5" s="12" t="s">
        <v>91</v>
      </c>
      <c r="G5" s="7" t="s">
        <v>92</v>
      </c>
      <c r="H5" s="7" t="s">
        <v>93</v>
      </c>
      <c r="I5" s="7" t="s">
        <v>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2" customWidth="1"/>
    <col min="2" max="2" width="6" customWidth="1"/>
    <col min="3" max="3" width="24" customWidth="1"/>
    <col min="4" max="4" width="60" customWidth="1"/>
    <col min="5" max="6" width="10" customWidth="1"/>
    <col min="7" max="7" width="75" customWidth="1"/>
  </cols>
  <sheetData>
    <row r="1" spans="1:7" ht="39" customHeight="1" x14ac:dyDescent="0.2">
      <c r="A1" s="8" t="s">
        <v>95</v>
      </c>
      <c r="B1" s="8" t="s">
        <v>30</v>
      </c>
      <c r="C1" s="8" t="s">
        <v>57</v>
      </c>
      <c r="D1" s="8" t="s">
        <v>96</v>
      </c>
      <c r="E1" s="8" t="s">
        <v>33</v>
      </c>
      <c r="F1" s="8" t="s">
        <v>97</v>
      </c>
      <c r="G1" s="8" t="s">
        <v>5</v>
      </c>
    </row>
    <row r="2" spans="1:7" ht="61.5" customHeight="1" x14ac:dyDescent="0.2">
      <c r="A2" s="17">
        <v>1</v>
      </c>
      <c r="B2" s="17">
        <v>1</v>
      </c>
      <c r="C2" s="18" t="s">
        <v>63</v>
      </c>
      <c r="D2" s="18" t="s">
        <v>98</v>
      </c>
      <c r="E2" s="17" t="s">
        <v>65</v>
      </c>
      <c r="F2" s="17"/>
      <c r="G2" s="18" t="s">
        <v>99</v>
      </c>
    </row>
    <row r="3" spans="1:7" ht="61.5" customHeight="1" x14ac:dyDescent="0.2">
      <c r="A3" s="9">
        <v>2</v>
      </c>
      <c r="B3" s="9">
        <v>2</v>
      </c>
      <c r="C3" s="7" t="s">
        <v>71</v>
      </c>
      <c r="D3" s="7" t="s">
        <v>100</v>
      </c>
      <c r="E3" s="9" t="s">
        <v>73</v>
      </c>
      <c r="F3" s="9"/>
      <c r="G3" s="7" t="s">
        <v>101</v>
      </c>
    </row>
    <row r="4" spans="1:7" ht="61.5" customHeight="1" x14ac:dyDescent="0.2">
      <c r="A4" s="17">
        <v>3</v>
      </c>
      <c r="B4" s="17">
        <v>3</v>
      </c>
      <c r="C4" s="18" t="s">
        <v>79</v>
      </c>
      <c r="D4" s="18" t="s">
        <v>102</v>
      </c>
      <c r="E4" s="17" t="s">
        <v>81</v>
      </c>
      <c r="F4" s="17"/>
      <c r="G4" s="18" t="s">
        <v>103</v>
      </c>
    </row>
    <row r="5" spans="1:7" ht="61.5" customHeight="1" x14ac:dyDescent="0.2">
      <c r="A5" s="9">
        <v>4</v>
      </c>
      <c r="B5" s="9">
        <v>4</v>
      </c>
      <c r="C5" s="7" t="s">
        <v>87</v>
      </c>
      <c r="D5" s="7" t="s">
        <v>104</v>
      </c>
      <c r="E5" s="9" t="s">
        <v>89</v>
      </c>
      <c r="F5" s="9"/>
      <c r="G5" s="7" t="s">
        <v>105</v>
      </c>
    </row>
    <row r="6" spans="1:7" ht="61.5" customHeight="1" x14ac:dyDescent="0.2">
      <c r="A6" s="17">
        <v>5</v>
      </c>
      <c r="B6" s="17">
        <v>1</v>
      </c>
      <c r="C6" s="18" t="s">
        <v>63</v>
      </c>
      <c r="D6" s="18" t="s">
        <v>106</v>
      </c>
      <c r="E6" s="17" t="s">
        <v>67</v>
      </c>
      <c r="F6" s="17"/>
      <c r="G6" s="18" t="s">
        <v>107</v>
      </c>
    </row>
    <row r="7" spans="1:7" ht="61.5" customHeight="1" x14ac:dyDescent="0.2">
      <c r="A7" s="9">
        <v>6</v>
      </c>
      <c r="B7" s="9">
        <v>2</v>
      </c>
      <c r="C7" s="7" t="s">
        <v>71</v>
      </c>
      <c r="D7" s="7" t="s">
        <v>108</v>
      </c>
      <c r="E7" s="9" t="s">
        <v>75</v>
      </c>
      <c r="F7" s="9"/>
      <c r="G7" s="7" t="s">
        <v>109</v>
      </c>
    </row>
    <row r="8" spans="1:7" ht="61.5" customHeight="1" x14ac:dyDescent="0.2">
      <c r="A8" s="17">
        <v>7</v>
      </c>
      <c r="B8" s="17">
        <v>3</v>
      </c>
      <c r="C8" s="18" t="s">
        <v>79</v>
      </c>
      <c r="D8" s="18" t="s">
        <v>110</v>
      </c>
      <c r="E8" s="17" t="s">
        <v>83</v>
      </c>
      <c r="F8" s="17"/>
      <c r="G8" s="18" t="s">
        <v>111</v>
      </c>
    </row>
    <row r="9" spans="1:7" ht="61.5" customHeight="1" x14ac:dyDescent="0.2">
      <c r="A9" s="9">
        <v>8</v>
      </c>
      <c r="B9" s="9">
        <v>4</v>
      </c>
      <c r="C9" s="7" t="s">
        <v>87</v>
      </c>
      <c r="D9" s="7" t="s">
        <v>112</v>
      </c>
      <c r="E9" s="9" t="s">
        <v>91</v>
      </c>
      <c r="F9" s="9"/>
      <c r="G9" s="7" t="s">
        <v>113</v>
      </c>
    </row>
    <row r="10" spans="1:7" ht="61.5" customHeight="1" x14ac:dyDescent="0.2">
      <c r="A10" s="17">
        <v>9</v>
      </c>
      <c r="B10" s="17">
        <v>1</v>
      </c>
      <c r="C10" s="18" t="s">
        <v>63</v>
      </c>
      <c r="D10" s="18" t="s">
        <v>114</v>
      </c>
      <c r="E10" s="17" t="s">
        <v>65</v>
      </c>
      <c r="F10" s="17"/>
      <c r="G10" s="18" t="s">
        <v>115</v>
      </c>
    </row>
    <row r="11" spans="1:7" ht="61.5" customHeight="1" x14ac:dyDescent="0.2">
      <c r="A11" s="9">
        <v>10</v>
      </c>
      <c r="B11" s="9">
        <v>2</v>
      </c>
      <c r="C11" s="7" t="s">
        <v>71</v>
      </c>
      <c r="D11" s="7" t="s">
        <v>116</v>
      </c>
      <c r="E11" s="9" t="s">
        <v>73</v>
      </c>
      <c r="F11" s="9"/>
      <c r="G11" s="7" t="s">
        <v>117</v>
      </c>
    </row>
    <row r="12" spans="1:7" ht="61.5" customHeight="1" x14ac:dyDescent="0.2">
      <c r="A12" s="17">
        <v>11</v>
      </c>
      <c r="B12" s="17">
        <v>3</v>
      </c>
      <c r="C12" s="18" t="s">
        <v>79</v>
      </c>
      <c r="D12" s="18" t="s">
        <v>118</v>
      </c>
      <c r="E12" s="17" t="s">
        <v>81</v>
      </c>
      <c r="F12" s="17"/>
      <c r="G12" s="18" t="s">
        <v>119</v>
      </c>
    </row>
    <row r="13" spans="1:7" ht="61.5" customHeight="1" x14ac:dyDescent="0.2">
      <c r="A13" s="9">
        <v>12</v>
      </c>
      <c r="B13" s="9">
        <v>4</v>
      </c>
      <c r="C13" s="7" t="s">
        <v>87</v>
      </c>
      <c r="D13" s="7" t="s">
        <v>120</v>
      </c>
      <c r="E13" s="9" t="s">
        <v>89</v>
      </c>
      <c r="F13" s="9"/>
      <c r="G13" s="7" t="s">
        <v>121</v>
      </c>
    </row>
    <row r="14" spans="1:7" ht="61.5" customHeight="1" x14ac:dyDescent="0.2">
      <c r="A14" s="17">
        <v>13</v>
      </c>
      <c r="B14" s="17">
        <v>1</v>
      </c>
      <c r="C14" s="18" t="s">
        <v>63</v>
      </c>
      <c r="D14" s="18" t="s">
        <v>122</v>
      </c>
      <c r="E14" s="17" t="s">
        <v>67</v>
      </c>
      <c r="F14" s="17"/>
      <c r="G14" s="18" t="s">
        <v>123</v>
      </c>
    </row>
    <row r="15" spans="1:7" ht="61.5" customHeight="1" x14ac:dyDescent="0.2">
      <c r="A15" s="9">
        <v>14</v>
      </c>
      <c r="B15" s="9">
        <v>2</v>
      </c>
      <c r="C15" s="7" t="s">
        <v>71</v>
      </c>
      <c r="D15" s="7" t="s">
        <v>124</v>
      </c>
      <c r="E15" s="9" t="s">
        <v>75</v>
      </c>
      <c r="F15" s="9"/>
      <c r="G15" s="7" t="s">
        <v>125</v>
      </c>
    </row>
    <row r="16" spans="1:7" ht="61.5" customHeight="1" x14ac:dyDescent="0.2">
      <c r="A16" s="17">
        <v>15</v>
      </c>
      <c r="B16" s="17">
        <v>3</v>
      </c>
      <c r="C16" s="18" t="s">
        <v>79</v>
      </c>
      <c r="D16" s="18" t="s">
        <v>126</v>
      </c>
      <c r="E16" s="17" t="s">
        <v>83</v>
      </c>
      <c r="F16" s="17"/>
      <c r="G16" s="18" t="s">
        <v>127</v>
      </c>
    </row>
    <row r="17" spans="1:7" ht="61.5" customHeight="1" x14ac:dyDescent="0.2">
      <c r="A17" s="9">
        <v>16</v>
      </c>
      <c r="B17" s="9">
        <v>4</v>
      </c>
      <c r="C17" s="7" t="s">
        <v>87</v>
      </c>
      <c r="D17" s="7" t="s">
        <v>128</v>
      </c>
      <c r="E17" s="9" t="s">
        <v>91</v>
      </c>
      <c r="F17" s="9"/>
      <c r="G17" s="7" t="s">
        <v>129</v>
      </c>
    </row>
    <row r="18" spans="1:7" ht="61.5" customHeight="1" x14ac:dyDescent="0.2">
      <c r="A18" s="17">
        <v>17</v>
      </c>
      <c r="B18" s="17">
        <v>1</v>
      </c>
      <c r="C18" s="18" t="s">
        <v>63</v>
      </c>
      <c r="D18" s="18" t="s">
        <v>130</v>
      </c>
      <c r="E18" s="17" t="s">
        <v>65</v>
      </c>
      <c r="F18" s="17"/>
      <c r="G18" s="18" t="s">
        <v>131</v>
      </c>
    </row>
    <row r="19" spans="1:7" ht="61.5" customHeight="1" x14ac:dyDescent="0.2">
      <c r="A19" s="9">
        <v>18</v>
      </c>
      <c r="B19" s="9">
        <v>2</v>
      </c>
      <c r="C19" s="7" t="s">
        <v>71</v>
      </c>
      <c r="D19" s="7" t="s">
        <v>132</v>
      </c>
      <c r="E19" s="9" t="s">
        <v>73</v>
      </c>
      <c r="F19" s="9"/>
      <c r="G19" s="7" t="s">
        <v>133</v>
      </c>
    </row>
    <row r="20" spans="1:7" ht="61.5" customHeight="1" x14ac:dyDescent="0.2">
      <c r="A20" s="17">
        <v>19</v>
      </c>
      <c r="B20" s="17">
        <v>3</v>
      </c>
      <c r="C20" s="18" t="s">
        <v>79</v>
      </c>
      <c r="D20" s="18" t="s">
        <v>134</v>
      </c>
      <c r="E20" s="17" t="s">
        <v>81</v>
      </c>
      <c r="F20" s="17"/>
      <c r="G20" s="18" t="s">
        <v>135</v>
      </c>
    </row>
    <row r="21" spans="1:7" ht="61.5" customHeight="1" x14ac:dyDescent="0.2">
      <c r="A21" s="9">
        <v>20</v>
      </c>
      <c r="B21" s="9">
        <v>4</v>
      </c>
      <c r="C21" s="7" t="s">
        <v>87</v>
      </c>
      <c r="D21" s="7" t="s">
        <v>136</v>
      </c>
      <c r="E21" s="9" t="s">
        <v>89</v>
      </c>
      <c r="F21" s="9"/>
      <c r="G21" s="7" t="s">
        <v>137</v>
      </c>
    </row>
    <row r="22" spans="1:7" ht="61.5" customHeight="1" x14ac:dyDescent="0.2">
      <c r="A22" s="17">
        <v>21</v>
      </c>
      <c r="B22" s="17">
        <v>1</v>
      </c>
      <c r="C22" s="18" t="s">
        <v>63</v>
      </c>
      <c r="D22" s="18" t="s">
        <v>138</v>
      </c>
      <c r="E22" s="17" t="s">
        <v>67</v>
      </c>
      <c r="F22" s="17"/>
      <c r="G22" s="18" t="s">
        <v>139</v>
      </c>
    </row>
    <row r="23" spans="1:7" ht="61.5" customHeight="1" x14ac:dyDescent="0.2">
      <c r="A23" s="9">
        <v>22</v>
      </c>
      <c r="B23" s="9">
        <v>2</v>
      </c>
      <c r="C23" s="7" t="s">
        <v>71</v>
      </c>
      <c r="D23" s="7" t="s">
        <v>140</v>
      </c>
      <c r="E23" s="9" t="s">
        <v>75</v>
      </c>
      <c r="F23" s="9"/>
      <c r="G23" s="7" t="s">
        <v>141</v>
      </c>
    </row>
    <row r="24" spans="1:7" ht="61.5" customHeight="1" x14ac:dyDescent="0.2">
      <c r="A24" s="17">
        <v>23</v>
      </c>
      <c r="B24" s="17">
        <v>3</v>
      </c>
      <c r="C24" s="18" t="s">
        <v>79</v>
      </c>
      <c r="D24" s="18" t="s">
        <v>142</v>
      </c>
      <c r="E24" s="17" t="s">
        <v>83</v>
      </c>
      <c r="F24" s="17"/>
      <c r="G24" s="18" t="s">
        <v>143</v>
      </c>
    </row>
    <row r="25" spans="1:7" ht="61.5" customHeight="1" x14ac:dyDescent="0.2">
      <c r="A25" s="9">
        <v>24</v>
      </c>
      <c r="B25" s="9">
        <v>4</v>
      </c>
      <c r="C25" s="7" t="s">
        <v>87</v>
      </c>
      <c r="D25" s="7" t="s">
        <v>144</v>
      </c>
      <c r="E25" s="9" t="s">
        <v>91</v>
      </c>
      <c r="F25" s="9"/>
      <c r="G25" s="7" t="s">
        <v>145</v>
      </c>
    </row>
    <row r="26" spans="1:7" ht="61.5" customHeight="1" x14ac:dyDescent="0.2">
      <c r="A26" s="17">
        <v>25</v>
      </c>
      <c r="B26" s="17">
        <v>1</v>
      </c>
      <c r="C26" s="18" t="s">
        <v>63</v>
      </c>
      <c r="D26" s="18" t="s">
        <v>146</v>
      </c>
      <c r="E26" s="17" t="s">
        <v>65</v>
      </c>
      <c r="F26" s="17"/>
      <c r="G26" s="18" t="s">
        <v>147</v>
      </c>
    </row>
    <row r="27" spans="1:7" ht="61.5" customHeight="1" x14ac:dyDescent="0.2">
      <c r="A27" s="9">
        <v>26</v>
      </c>
      <c r="B27" s="9">
        <v>2</v>
      </c>
      <c r="C27" s="7" t="s">
        <v>71</v>
      </c>
      <c r="D27" s="7" t="s">
        <v>148</v>
      </c>
      <c r="E27" s="9" t="s">
        <v>73</v>
      </c>
      <c r="F27" s="9"/>
      <c r="G27" s="7" t="s">
        <v>149</v>
      </c>
    </row>
    <row r="28" spans="1:7" ht="61.5" customHeight="1" x14ac:dyDescent="0.2">
      <c r="A28" s="17">
        <v>27</v>
      </c>
      <c r="B28" s="17">
        <v>3</v>
      </c>
      <c r="C28" s="18" t="s">
        <v>79</v>
      </c>
      <c r="D28" s="18" t="s">
        <v>150</v>
      </c>
      <c r="E28" s="17" t="s">
        <v>83</v>
      </c>
      <c r="F28" s="17"/>
      <c r="G28" s="18" t="s">
        <v>151</v>
      </c>
    </row>
    <row r="29" spans="1:7" ht="61.5" customHeight="1" x14ac:dyDescent="0.2">
      <c r="A29" s="9">
        <v>28</v>
      </c>
      <c r="B29" s="9">
        <v>4</v>
      </c>
      <c r="C29" s="7" t="s">
        <v>87</v>
      </c>
      <c r="D29" s="7" t="s">
        <v>152</v>
      </c>
      <c r="E29" s="9" t="s">
        <v>91</v>
      </c>
      <c r="F29" s="9"/>
      <c r="G29" s="7" t="s">
        <v>153</v>
      </c>
    </row>
    <row r="30" spans="1:7" ht="61.5" customHeight="1" x14ac:dyDescent="0.2">
      <c r="A30" s="17">
        <v>29</v>
      </c>
      <c r="B30" s="17">
        <v>1</v>
      </c>
      <c r="C30" s="18" t="s">
        <v>63</v>
      </c>
      <c r="D30" s="18" t="s">
        <v>154</v>
      </c>
      <c r="E30" s="17" t="s">
        <v>67</v>
      </c>
      <c r="F30" s="17" t="s">
        <v>41</v>
      </c>
      <c r="G30" s="18" t="s">
        <v>155</v>
      </c>
    </row>
    <row r="31" spans="1:7" ht="61.5" customHeight="1" x14ac:dyDescent="0.2">
      <c r="A31" s="9">
        <v>30</v>
      </c>
      <c r="B31" s="9">
        <v>2</v>
      </c>
      <c r="C31" s="7" t="s">
        <v>71</v>
      </c>
      <c r="D31" s="7" t="s">
        <v>156</v>
      </c>
      <c r="E31" s="9" t="s">
        <v>75</v>
      </c>
      <c r="F31" s="9" t="s">
        <v>41</v>
      </c>
      <c r="G31" s="7" t="s">
        <v>157</v>
      </c>
    </row>
    <row r="32" spans="1:7" ht="61.5" customHeight="1" x14ac:dyDescent="0.2">
      <c r="A32" s="17">
        <v>31</v>
      </c>
      <c r="B32" s="17">
        <v>3</v>
      </c>
      <c r="C32" s="18" t="s">
        <v>79</v>
      </c>
      <c r="D32" s="18" t="s">
        <v>158</v>
      </c>
      <c r="E32" s="17" t="s">
        <v>81</v>
      </c>
      <c r="F32" s="17" t="s">
        <v>41</v>
      </c>
      <c r="G32" s="18" t="s">
        <v>159</v>
      </c>
    </row>
    <row r="33" spans="1:7" ht="61.5" customHeight="1" x14ac:dyDescent="0.2">
      <c r="A33" s="9">
        <v>32</v>
      </c>
      <c r="B33" s="9">
        <v>4</v>
      </c>
      <c r="C33" s="7" t="s">
        <v>87</v>
      </c>
      <c r="D33" s="7" t="s">
        <v>160</v>
      </c>
      <c r="E33" s="9" t="s">
        <v>89</v>
      </c>
      <c r="F33" s="9" t="s">
        <v>41</v>
      </c>
      <c r="G33" s="7" t="s">
        <v>161</v>
      </c>
    </row>
  </sheetData>
  <autoFilter ref="A1:G33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3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9" customWidth="1"/>
    <col min="2" max="2" width="6" customWidth="1"/>
    <col min="3" max="3" width="22" customWidth="1"/>
    <col min="4" max="4" width="55" customWidth="1"/>
    <col min="5" max="5" width="9" customWidth="1"/>
    <col min="6" max="6" width="26" customWidth="1"/>
    <col min="7" max="7" width="9" customWidth="1"/>
    <col min="8" max="8" width="26" customWidth="1"/>
    <col min="9" max="9" width="28" customWidth="1"/>
    <col min="10" max="10" width="34" customWidth="1"/>
    <col min="11" max="11" width="40" customWidth="1"/>
    <col min="12" max="12" width="55" customWidth="1"/>
    <col min="13" max="15" width="9" customWidth="1"/>
    <col min="16" max="17" width="45" customWidth="1"/>
    <col min="18" max="18" width="32" customWidth="1"/>
    <col min="19" max="19" width="40" customWidth="1"/>
  </cols>
  <sheetData>
    <row r="1" spans="1:19" ht="45" customHeight="1" x14ac:dyDescent="0.2">
      <c r="A1" s="19" t="s">
        <v>95</v>
      </c>
      <c r="B1" s="19" t="s">
        <v>30</v>
      </c>
      <c r="C1" s="19" t="s">
        <v>57</v>
      </c>
      <c r="D1" s="19" t="s">
        <v>162</v>
      </c>
      <c r="E1" s="19" t="s">
        <v>59</v>
      </c>
      <c r="F1" s="19" t="s">
        <v>36</v>
      </c>
      <c r="G1" s="19" t="s">
        <v>60</v>
      </c>
      <c r="H1" s="19" t="s">
        <v>38</v>
      </c>
      <c r="I1" s="19" t="s">
        <v>61</v>
      </c>
      <c r="J1" s="19" t="s">
        <v>163</v>
      </c>
      <c r="K1" s="19" t="s">
        <v>164</v>
      </c>
      <c r="L1" s="19" t="s">
        <v>165</v>
      </c>
      <c r="M1" s="19" t="s">
        <v>166</v>
      </c>
      <c r="N1" s="19" t="s">
        <v>167</v>
      </c>
      <c r="O1" s="19" t="s">
        <v>34</v>
      </c>
      <c r="P1" s="19" t="s">
        <v>168</v>
      </c>
      <c r="Q1" s="19" t="s">
        <v>169</v>
      </c>
      <c r="R1" s="19" t="s">
        <v>170</v>
      </c>
      <c r="S1" s="19" t="s">
        <v>171</v>
      </c>
    </row>
    <row r="2" spans="1:19" ht="45.75" customHeight="1" x14ac:dyDescent="0.2">
      <c r="A2" s="20">
        <f>Questions!A2</f>
        <v>1</v>
      </c>
      <c r="B2" s="20">
        <f>Questions!B2</f>
        <v>1</v>
      </c>
      <c r="C2" s="20" t="str">
        <f>Questions!C2</f>
        <v>Ce qui m'attire</v>
      </c>
      <c r="D2" s="20" t="str">
        <f>Questions!D2</f>
        <v>C'est en accueillant les invités d'une fête, en veillant à ce que chacun se sente bien, que tu donnes le meilleur de toi.</v>
      </c>
      <c r="E2" s="20" t="str">
        <f>INDEX(Axes!$D$2:$D$5,MATCH($B2,Axes!$A$2:$A$5,0))</f>
        <v>H</v>
      </c>
      <c r="F2" s="20" t="str">
        <f>INDEX(Axes!$E$2:$E$5,MATCH($B2,Axes!$A$2:$A$5,0))</f>
        <v>Les personnes (utilisateurs, équipes)</v>
      </c>
      <c r="G2" s="20" t="str">
        <f>INDEX(Axes!$F$2:$F$5,MATCH($B2,Axes!$A$2:$A$5,0))</f>
        <v>T</v>
      </c>
      <c r="H2" s="20" t="str">
        <f>INDEX(Axes!$G$2:$G$5,MATCH($B2,Axes!$A$2:$A$5,0))</f>
        <v>La technique (code, données, machines)</v>
      </c>
      <c r="I2" s="20" t="str">
        <f>INDEX(Axes!$H$2:$H$5,MATCH($B2,Axes!$A$2:$A$5,0))</f>
        <v>Tourné vers les gens ou vers les systèmes</v>
      </c>
      <c r="J2" s="20" t="str">
        <f>INDEX(Axes!$I$2:$I$5,MATCH($B2,Axes!$A$2:$A$5,0))</f>
        <v>Coopérer en équipe, Communiquer et expliquer / Résoudre avec méthode, Analyser et raisonner</v>
      </c>
      <c r="K2" s="20" t="s">
        <v>172</v>
      </c>
      <c r="L2" s="20" t="str">
        <f>SUBSTITUTE(Questions!G2,"Exemple : ","")</f>
        <v>pour l'anniversaire de ton meilleur ami, tu es à la porte, tu salues chaque invité, tu présentes ceux qui ne se connaissent pas et tu veilles à ce que personne ne reste seul dans son coin.</v>
      </c>
      <c r="M2" s="20" t="str">
        <f>Questions!E2</f>
        <v>H</v>
      </c>
      <c r="N2" s="20" t="str">
        <f t="shared" ref="N2:N33" si="0">IF(M2=E2,G2,E2)</f>
        <v>T</v>
      </c>
      <c r="O2" s="20" t="str">
        <f>IF(Questions!F2="Oui","Oui","")</f>
        <v/>
      </c>
      <c r="P2" s="20" t="s">
        <v>173</v>
      </c>
      <c r="Q2" s="20" t="s">
        <v>174</v>
      </c>
      <c r="R2" s="20" t="s">
        <v>175</v>
      </c>
      <c r="S2" s="20" t="s">
        <v>176</v>
      </c>
    </row>
    <row r="3" spans="1:19" ht="45.75" customHeight="1" x14ac:dyDescent="0.2">
      <c r="A3" s="20">
        <f>Questions!A3</f>
        <v>2</v>
      </c>
      <c r="B3" s="20">
        <f>Questions!B3</f>
        <v>2</v>
      </c>
      <c r="C3" s="20" t="str">
        <f>Questions!C3</f>
        <v>Ma démarche</v>
      </c>
      <c r="D3" s="20" t="str">
        <f>Questions!D3</f>
        <v>C'est quand un prof te laisse choisir librement comment présenter ton travail que tu produis tes meilleurs résultats.</v>
      </c>
      <c r="E3" s="20" t="str">
        <f>INDEX(Axes!$D$2:$D$5,MATCH($B3,Axes!$A$2:$A$5,0))</f>
        <v>I</v>
      </c>
      <c r="F3" s="20" t="str">
        <f>INDEX(Axes!$E$2:$E$5,MATCH($B3,Axes!$A$2:$A$5,0))</f>
        <v>Improviser et inventer (créer sur le moment, faire autrement)</v>
      </c>
      <c r="G3" s="20" t="str">
        <f>INDEX(Axes!$F$2:$F$5,MATCH($B3,Axes!$A$2:$A$5,0))</f>
        <v>F</v>
      </c>
      <c r="H3" s="20" t="str">
        <f>INDEX(Axes!$G$2:$G$5,MATCH($B3,Axes!$A$2:$A$5,0))</f>
        <v>Préparer et fiabiliser (anticiper, vérifier)</v>
      </c>
      <c r="I3" s="20" t="str">
        <f>INDEX(Axes!$H$2:$H$5,MATCH($B3,Axes!$A$2:$A$5,0))</f>
        <v>Goût de la création ou de l'analyse et de la fiabilité</v>
      </c>
      <c r="J3" s="20" t="str">
        <f>INDEX(Axes!$I$2:$I$5,MATCH($B3,Axes!$A$2:$A$5,0))</f>
        <v>Créer et innover / Analyser et raisonner, Résoudre avec méthode</v>
      </c>
      <c r="K3" s="20" t="s">
        <v>177</v>
      </c>
      <c r="L3" s="20" t="str">
        <f>SUBSTITUTE(Questions!G3,"Exemple : ","")</f>
        <v>le prof dit « Présentez ce thème comme vous voulez : affiche, vidéo, saynète… ». Tu choisis ton format et tu te lances.</v>
      </c>
      <c r="M3" s="20" t="str">
        <f>Questions!E3</f>
        <v>I</v>
      </c>
      <c r="N3" s="20" t="str">
        <f t="shared" si="0"/>
        <v>F</v>
      </c>
      <c r="O3" s="20" t="str">
        <f>IF(Questions!F3="Oui","Oui","")</f>
        <v/>
      </c>
      <c r="P3" s="20" t="s">
        <v>178</v>
      </c>
      <c r="Q3" s="20" t="s">
        <v>179</v>
      </c>
      <c r="R3" s="20" t="s">
        <v>180</v>
      </c>
      <c r="S3" s="20" t="s">
        <v>176</v>
      </c>
    </row>
    <row r="4" spans="1:19" ht="45.75" customHeight="1" x14ac:dyDescent="0.2">
      <c r="A4" s="20">
        <f>Questions!A4</f>
        <v>3</v>
      </c>
      <c r="B4" s="20">
        <f>Questions!B4</f>
        <v>3</v>
      </c>
      <c r="C4" s="20" t="str">
        <f>Questions!C4</f>
        <v>Mon terrain</v>
      </c>
      <c r="D4" s="20" t="str">
        <f>Questions!D4</f>
        <v>C'est quand tu présentes ton travail devant la classe que tu donnes le meilleur de toi.</v>
      </c>
      <c r="E4" s="20" t="str">
        <f>INDEX(Axes!$D$2:$D$5,MATCH($B4,Axes!$A$2:$A$5,0))</f>
        <v>V</v>
      </c>
      <c r="F4" s="20" t="str">
        <f>INDEX(Axes!$E$2:$E$5,MATCH($B4,Axes!$A$2:$A$5,0))</f>
        <v>Côté visible (se montrer, être au contact)</v>
      </c>
      <c r="G4" s="20" t="str">
        <f>INDEX(Axes!$F$2:$F$5,MATCH($B4,Axes!$A$2:$A$5,0))</f>
        <v>C</v>
      </c>
      <c r="H4" s="20" t="str">
        <f>INDEX(Axes!$G$2:$G$5,MATCH($B4,Axes!$A$2:$A$5,0))</f>
        <v>Coulisses (rester en retrait, préparer)</v>
      </c>
      <c r="I4" s="20" t="str">
        <f>INDEX(Axes!$H$2:$H$5,MATCH($B4,Axes!$A$2:$A$5,0))</f>
        <v>Contact avec les utilisateurs ou travail en arrière-plan</v>
      </c>
      <c r="J4" s="20" t="str">
        <f>INDEX(Axes!$I$2:$I$5,MATCH($B4,Axes!$A$2:$A$5,0))</f>
        <v>Communiquer et expliquer / Apprendre à apprendre, Résoudre avec méthode</v>
      </c>
      <c r="K4" s="20" t="s">
        <v>181</v>
      </c>
      <c r="L4" s="20" t="str">
        <f>SUBSTITUTE(Questions!G4,"Exemple : ","")</f>
        <v>ton groupe a fini son exposé et tu te lèves devant la classe pour le présenter.</v>
      </c>
      <c r="M4" s="20" t="str">
        <f>Questions!E4</f>
        <v>V</v>
      </c>
      <c r="N4" s="20" t="str">
        <f t="shared" si="0"/>
        <v>C</v>
      </c>
      <c r="O4" s="20" t="str">
        <f>IF(Questions!F4="Oui","Oui","")</f>
        <v/>
      </c>
      <c r="P4" s="20" t="s">
        <v>173</v>
      </c>
      <c r="Q4" s="20" t="s">
        <v>182</v>
      </c>
      <c r="R4" s="20" t="s">
        <v>183</v>
      </c>
      <c r="S4" s="20" t="s">
        <v>176</v>
      </c>
    </row>
    <row r="5" spans="1:19" ht="45.75" customHeight="1" x14ac:dyDescent="0.2">
      <c r="A5" s="20">
        <f>Questions!A5</f>
        <v>4</v>
      </c>
      <c r="B5" s="20">
        <f>Questions!B5</f>
        <v>4</v>
      </c>
      <c r="C5" s="20" t="str">
        <f>Questions!C5</f>
        <v>Ma façon de travailler</v>
      </c>
      <c r="D5" s="20" t="str">
        <f>Questions!D5</f>
        <v>C'est quand tu apprends seul(e) que tu retiens le mieux.</v>
      </c>
      <c r="E5" s="20" t="str">
        <f>INDEX(Axes!$D$2:$D$5,MATCH($B5,Axes!$A$2:$A$5,0))</f>
        <v>E</v>
      </c>
      <c r="F5" s="20" t="str">
        <f>INDEX(Axes!$E$2:$E$5,MATCH($B5,Axes!$A$2:$A$5,0))</f>
        <v>Expertise en profondeur (je maîtrise à fond)</v>
      </c>
      <c r="G5" s="20" t="str">
        <f>INDEX(Axes!$F$2:$F$5,MATCH($B5,Axes!$A$2:$A$5,0))</f>
        <v>K</v>
      </c>
      <c r="H5" s="20" t="str">
        <f>INDEX(Axes!$G$2:$G$5,MATCH($B5,Axes!$A$2:$A$5,0))</f>
        <v>Collectif et coordination (je fais avancer ensemble)</v>
      </c>
      <c r="I5" s="20" t="str">
        <f>INDEX(Axes!$H$2:$H$5,MATCH($B5,Axes!$A$2:$A$5,0))</f>
        <v>Expertise individuelle ou travail collectif</v>
      </c>
      <c r="J5" s="20" t="str">
        <f>INDEX(Axes!$I$2:$I$5,MATCH($B5,Axes!$A$2:$A$5,0))</f>
        <v>Apprendre à apprendre, Se connaître et s'engager / Coopérer en équipe, S'adapter et rebondir</v>
      </c>
      <c r="K5" s="20" t="s">
        <v>184</v>
      </c>
      <c r="L5" s="20" t="str">
        <f>SUBSTITUTE(Questions!G5,"Exemple : ","")</f>
        <v>tu veux apprendre une nouvelle technique de dessin ou un nouveau tour de magie. Tu regardes un tutoriel et tu t'entraînes seul(e) jusqu'à y arriver.</v>
      </c>
      <c r="M5" s="20" t="str">
        <f>Questions!E5</f>
        <v>E</v>
      </c>
      <c r="N5" s="20" t="str">
        <f t="shared" si="0"/>
        <v>K</v>
      </c>
      <c r="O5" s="20" t="str">
        <f>IF(Questions!F5="Oui","Oui","")</f>
        <v/>
      </c>
      <c r="P5" s="20" t="s">
        <v>185</v>
      </c>
      <c r="Q5" s="20" t="s">
        <v>186</v>
      </c>
      <c r="R5" s="20" t="s">
        <v>187</v>
      </c>
      <c r="S5" s="20" t="s">
        <v>176</v>
      </c>
    </row>
    <row r="6" spans="1:19" ht="45.75" customHeight="1" x14ac:dyDescent="0.2">
      <c r="A6" s="20">
        <f>Questions!A6</f>
        <v>5</v>
      </c>
      <c r="B6" s="20">
        <f>Questions!B6</f>
        <v>1</v>
      </c>
      <c r="C6" s="20" t="str">
        <f>Questions!C6</f>
        <v>Ce qui m'attire</v>
      </c>
      <c r="D6" s="20" t="str">
        <f>Questions!D6</f>
        <v>C'est en t'occupant de la sono et du vidéoprojecteur d'une fête que tu donnes le meilleur de toi.</v>
      </c>
      <c r="E6" s="20" t="str">
        <f>INDEX(Axes!$D$2:$D$5,MATCH($B6,Axes!$A$2:$A$5,0))</f>
        <v>H</v>
      </c>
      <c r="F6" s="20" t="str">
        <f>INDEX(Axes!$E$2:$E$5,MATCH($B6,Axes!$A$2:$A$5,0))</f>
        <v>Les personnes (utilisateurs, équipes)</v>
      </c>
      <c r="G6" s="20" t="str">
        <f>INDEX(Axes!$F$2:$F$5,MATCH($B6,Axes!$A$2:$A$5,0))</f>
        <v>T</v>
      </c>
      <c r="H6" s="20" t="str">
        <f>INDEX(Axes!$G$2:$G$5,MATCH($B6,Axes!$A$2:$A$5,0))</f>
        <v>La technique (code, données, machines)</v>
      </c>
      <c r="I6" s="20" t="str">
        <f>INDEX(Axes!$H$2:$H$5,MATCH($B6,Axes!$A$2:$A$5,0))</f>
        <v>Tourné vers les gens ou vers les systèmes</v>
      </c>
      <c r="J6" s="20" t="str">
        <f>INDEX(Axes!$I$2:$I$5,MATCH($B6,Axes!$A$2:$A$5,0))</f>
        <v>Coopérer en équipe, Communiquer et expliquer / Résoudre avec méthode, Analyser et raisonner</v>
      </c>
      <c r="K6" s="20" t="s">
        <v>188</v>
      </c>
      <c r="L6" s="20" t="str">
        <f>SUBSTITUTE(Questions!G6,"Exemple : ","")</f>
        <v>le jour de l'anniversaire, tu branches la sono, tu règles le son et tu fais marcher le vidéoprojecteur pour le diaporama de photos.</v>
      </c>
      <c r="M6" s="20" t="str">
        <f>Questions!E6</f>
        <v>T</v>
      </c>
      <c r="N6" s="20" t="str">
        <f t="shared" si="0"/>
        <v>H</v>
      </c>
      <c r="O6" s="20" t="str">
        <f>IF(Questions!F6="Oui","Oui","")</f>
        <v/>
      </c>
      <c r="P6" s="20" t="s">
        <v>189</v>
      </c>
      <c r="Q6" s="20" t="s">
        <v>190</v>
      </c>
      <c r="R6" s="20" t="s">
        <v>191</v>
      </c>
      <c r="S6" s="20" t="s">
        <v>176</v>
      </c>
    </row>
    <row r="7" spans="1:19" ht="45.75" customHeight="1" x14ac:dyDescent="0.2">
      <c r="A7" s="20">
        <f>Questions!A7</f>
        <v>6</v>
      </c>
      <c r="B7" s="20">
        <f>Questions!B7</f>
        <v>2</v>
      </c>
      <c r="C7" s="20" t="str">
        <f>Questions!C7</f>
        <v>Ma démarche</v>
      </c>
      <c r="D7" s="20" t="str">
        <f>Questions!D7</f>
        <v>C'est quand un prof te donne un modèle précis à suivre étape par étape que tu produis tes meilleurs résultats.</v>
      </c>
      <c r="E7" s="20" t="str">
        <f>INDEX(Axes!$D$2:$D$5,MATCH($B7,Axes!$A$2:$A$5,0))</f>
        <v>I</v>
      </c>
      <c r="F7" s="20" t="str">
        <f>INDEX(Axes!$E$2:$E$5,MATCH($B7,Axes!$A$2:$A$5,0))</f>
        <v>Improviser et inventer (créer sur le moment, faire autrement)</v>
      </c>
      <c r="G7" s="20" t="str">
        <f>INDEX(Axes!$F$2:$F$5,MATCH($B7,Axes!$A$2:$A$5,0))</f>
        <v>F</v>
      </c>
      <c r="H7" s="20" t="str">
        <f>INDEX(Axes!$G$2:$G$5,MATCH($B7,Axes!$A$2:$A$5,0))</f>
        <v>Préparer et fiabiliser (anticiper, vérifier)</v>
      </c>
      <c r="I7" s="20" t="str">
        <f>INDEX(Axes!$H$2:$H$5,MATCH($B7,Axes!$A$2:$A$5,0))</f>
        <v>Goût de la création ou de l'analyse et de la fiabilité</v>
      </c>
      <c r="J7" s="20" t="str">
        <f>INDEX(Axes!$I$2:$I$5,MATCH($B7,Axes!$A$2:$A$5,0))</f>
        <v>Créer et innover / Analyser et raisonner, Résoudre avec méthode</v>
      </c>
      <c r="K7" s="20" t="s">
        <v>192</v>
      </c>
      <c r="L7" s="20" t="str">
        <f>SUBSTITUTE(Questions!G7,"Exemple : ","")</f>
        <v>le prof donne une fiche : un titre, trois parties, une conclusion, avec la longueur de chacune. Tu suis les étapes une par une.</v>
      </c>
      <c r="M7" s="20" t="str">
        <f>Questions!E7</f>
        <v>F</v>
      </c>
      <c r="N7" s="20" t="str">
        <f t="shared" si="0"/>
        <v>I</v>
      </c>
      <c r="O7" s="20" t="str">
        <f>IF(Questions!F7="Oui","Oui","")</f>
        <v/>
      </c>
      <c r="P7" s="20" t="s">
        <v>193</v>
      </c>
      <c r="Q7" s="20" t="s">
        <v>194</v>
      </c>
      <c r="R7" s="20" t="s">
        <v>195</v>
      </c>
      <c r="S7" s="20" t="s">
        <v>176</v>
      </c>
    </row>
    <row r="8" spans="1:19" ht="45.75" customHeight="1" x14ac:dyDescent="0.2">
      <c r="A8" s="20">
        <f>Questions!A8</f>
        <v>7</v>
      </c>
      <c r="B8" s="20">
        <f>Questions!B8</f>
        <v>3</v>
      </c>
      <c r="C8" s="20" t="str">
        <f>Questions!C8</f>
        <v>Mon terrain</v>
      </c>
      <c r="D8" s="20" t="str">
        <f>Questions!D8</f>
        <v>C'est quand tu prépares le matériel pendant qu'un autre présente que tu donnes le meilleur de toi.</v>
      </c>
      <c r="E8" s="20" t="str">
        <f>INDEX(Axes!$D$2:$D$5,MATCH($B8,Axes!$A$2:$A$5,0))</f>
        <v>V</v>
      </c>
      <c r="F8" s="20" t="str">
        <f>INDEX(Axes!$E$2:$E$5,MATCH($B8,Axes!$A$2:$A$5,0))</f>
        <v>Côté visible (se montrer, être au contact)</v>
      </c>
      <c r="G8" s="20" t="str">
        <f>INDEX(Axes!$F$2:$F$5,MATCH($B8,Axes!$A$2:$A$5,0))</f>
        <v>C</v>
      </c>
      <c r="H8" s="20" t="str">
        <f>INDEX(Axes!$G$2:$G$5,MATCH($B8,Axes!$A$2:$A$5,0))</f>
        <v>Coulisses (rester en retrait, préparer)</v>
      </c>
      <c r="I8" s="20" t="str">
        <f>INDEX(Axes!$H$2:$H$5,MATCH($B8,Axes!$A$2:$A$5,0))</f>
        <v>Contact avec les utilisateurs ou travail en arrière-plan</v>
      </c>
      <c r="J8" s="20" t="str">
        <f>INDEX(Axes!$I$2:$I$5,MATCH($B8,Axes!$A$2:$A$5,0))</f>
        <v>Communiquer et expliquer / Apprendre à apprendre, Résoudre avec méthode</v>
      </c>
      <c r="K8" s="20" t="s">
        <v>196</v>
      </c>
      <c r="L8" s="20" t="str">
        <f>SUBSTITUTE(Questions!G8,"Exemple : ","")</f>
        <v>pendant qu'un camarade présente, toi tu as préparé les diapositives, les documents et le matériel, et tu les passes au bon moment.</v>
      </c>
      <c r="M8" s="20" t="str">
        <f>Questions!E8</f>
        <v>C</v>
      </c>
      <c r="N8" s="20" t="str">
        <f t="shared" si="0"/>
        <v>V</v>
      </c>
      <c r="O8" s="20" t="str">
        <f>IF(Questions!F8="Oui","Oui","")</f>
        <v/>
      </c>
      <c r="P8" s="20" t="s">
        <v>197</v>
      </c>
      <c r="Q8" s="20" t="s">
        <v>198</v>
      </c>
      <c r="R8" s="20" t="s">
        <v>191</v>
      </c>
      <c r="S8" s="20" t="s">
        <v>176</v>
      </c>
    </row>
    <row r="9" spans="1:19" ht="45.75" customHeight="1" x14ac:dyDescent="0.2">
      <c r="A9" s="20">
        <f>Questions!A9</f>
        <v>8</v>
      </c>
      <c r="B9" s="20">
        <f>Questions!B9</f>
        <v>4</v>
      </c>
      <c r="C9" s="20" t="str">
        <f>Questions!C9</f>
        <v>Ma façon de travailler</v>
      </c>
      <c r="D9" s="20" t="str">
        <f>Questions!D9</f>
        <v>C'est en discutant avec d'autres que tu apprends le mieux.</v>
      </c>
      <c r="E9" s="20" t="str">
        <f>INDEX(Axes!$D$2:$D$5,MATCH($B9,Axes!$A$2:$A$5,0))</f>
        <v>E</v>
      </c>
      <c r="F9" s="20" t="str">
        <f>INDEX(Axes!$E$2:$E$5,MATCH($B9,Axes!$A$2:$A$5,0))</f>
        <v>Expertise en profondeur (je maîtrise à fond)</v>
      </c>
      <c r="G9" s="20" t="str">
        <f>INDEX(Axes!$F$2:$F$5,MATCH($B9,Axes!$A$2:$A$5,0))</f>
        <v>K</v>
      </c>
      <c r="H9" s="20" t="str">
        <f>INDEX(Axes!$G$2:$G$5,MATCH($B9,Axes!$A$2:$A$5,0))</f>
        <v>Collectif et coordination (je fais avancer ensemble)</v>
      </c>
      <c r="I9" s="20" t="str">
        <f>INDEX(Axes!$H$2:$H$5,MATCH($B9,Axes!$A$2:$A$5,0))</f>
        <v>Expertise individuelle ou travail collectif</v>
      </c>
      <c r="J9" s="20" t="str">
        <f>INDEX(Axes!$I$2:$I$5,MATCH($B9,Axes!$A$2:$A$5,0))</f>
        <v>Apprendre à apprendre, Se connaître et s'engager / Coopérer en équipe, S'adapter et rebondir</v>
      </c>
      <c r="K9" s="20" t="s">
        <v>199</v>
      </c>
      <c r="L9" s="20" t="str">
        <f>SUBSTITUTE(Questions!G9,"Exemple : ","")</f>
        <v>tu révises un chapitre de maths. Tu en parles avec un ami et vous vous expliquez les points difficiles.</v>
      </c>
      <c r="M9" s="20" t="str">
        <f>Questions!E9</f>
        <v>K</v>
      </c>
      <c r="N9" s="20" t="str">
        <f t="shared" si="0"/>
        <v>E</v>
      </c>
      <c r="O9" s="20" t="str">
        <f>IF(Questions!F9="Oui","Oui","")</f>
        <v/>
      </c>
      <c r="P9" s="20" t="s">
        <v>200</v>
      </c>
      <c r="Q9" s="20" t="s">
        <v>201</v>
      </c>
      <c r="R9" s="20" t="s">
        <v>202</v>
      </c>
      <c r="S9" s="20" t="s">
        <v>176</v>
      </c>
    </row>
    <row r="10" spans="1:19" ht="45.75" customHeight="1" x14ac:dyDescent="0.2">
      <c r="A10" s="20">
        <f>Questions!A10</f>
        <v>9</v>
      </c>
      <c r="B10" s="20">
        <f>Questions!B10</f>
        <v>1</v>
      </c>
      <c r="C10" s="20" t="str">
        <f>Questions!C10</f>
        <v>Ce qui m'attire</v>
      </c>
      <c r="D10" s="20" t="str">
        <f>Questions!D10</f>
        <v>C'est quand tu te demandes à qui sert un objet et si les gens l'aimeront que tu as tes meilleures idées.</v>
      </c>
      <c r="E10" s="20" t="str">
        <f>INDEX(Axes!$D$2:$D$5,MATCH($B10,Axes!$A$2:$A$5,0))</f>
        <v>H</v>
      </c>
      <c r="F10" s="20" t="str">
        <f>INDEX(Axes!$E$2:$E$5,MATCH($B10,Axes!$A$2:$A$5,0))</f>
        <v>Les personnes (utilisateurs, équipes)</v>
      </c>
      <c r="G10" s="20" t="str">
        <f>INDEX(Axes!$F$2:$F$5,MATCH($B10,Axes!$A$2:$A$5,0))</f>
        <v>T</v>
      </c>
      <c r="H10" s="20" t="str">
        <f>INDEX(Axes!$G$2:$G$5,MATCH($B10,Axes!$A$2:$A$5,0))</f>
        <v>La technique (code, données, machines)</v>
      </c>
      <c r="I10" s="20" t="str">
        <f>INDEX(Axes!$H$2:$H$5,MATCH($B10,Axes!$A$2:$A$5,0))</f>
        <v>Tourné vers les gens ou vers les systèmes</v>
      </c>
      <c r="J10" s="20" t="str">
        <f>INDEX(Axes!$I$2:$I$5,MATCH($B10,Axes!$A$2:$A$5,0))</f>
        <v>Coopérer en équipe, Communiquer et expliquer / Résoudre avec méthode, Analyser et raisonner</v>
      </c>
      <c r="K10" s="20" t="s">
        <v>203</v>
      </c>
      <c r="L10" s="20" t="str">
        <f>SUBSTITUTE(Questions!G10,"Exemple : ","")</f>
        <v>on te montre une montre connectée. Ta première réaction : « Qui s'en servirait ? Mes grands-parents ? Mes amis sportifs ? Est-ce qu'ils aimeraient ça ? »</v>
      </c>
      <c r="M10" s="20" t="str">
        <f>Questions!E10</f>
        <v>H</v>
      </c>
      <c r="N10" s="20" t="str">
        <f t="shared" si="0"/>
        <v>T</v>
      </c>
      <c r="O10" s="20" t="str">
        <f>IF(Questions!F10="Oui","Oui","")</f>
        <v/>
      </c>
      <c r="P10" s="20" t="s">
        <v>173</v>
      </c>
      <c r="Q10" s="20" t="s">
        <v>174</v>
      </c>
      <c r="R10" s="20" t="s">
        <v>175</v>
      </c>
      <c r="S10" s="20" t="s">
        <v>176</v>
      </c>
    </row>
    <row r="11" spans="1:19" ht="45.75" customHeight="1" x14ac:dyDescent="0.2">
      <c r="A11" s="20">
        <f>Questions!A11</f>
        <v>10</v>
      </c>
      <c r="B11" s="20">
        <f>Questions!B11</f>
        <v>2</v>
      </c>
      <c r="C11" s="20" t="str">
        <f>Questions!C11</f>
        <v>Ma démarche</v>
      </c>
      <c r="D11" s="20" t="str">
        <f>Questions!D11</f>
        <v>C'est à la dernière minute que tu produis les meilleurs résultats.</v>
      </c>
      <c r="E11" s="20" t="str">
        <f>INDEX(Axes!$D$2:$D$5,MATCH($B11,Axes!$A$2:$A$5,0))</f>
        <v>I</v>
      </c>
      <c r="F11" s="20" t="str">
        <f>INDEX(Axes!$E$2:$E$5,MATCH($B11,Axes!$A$2:$A$5,0))</f>
        <v>Improviser et inventer (créer sur le moment, faire autrement)</v>
      </c>
      <c r="G11" s="20" t="str">
        <f>INDEX(Axes!$F$2:$F$5,MATCH($B11,Axes!$A$2:$A$5,0))</f>
        <v>F</v>
      </c>
      <c r="H11" s="20" t="str">
        <f>INDEX(Axes!$G$2:$G$5,MATCH($B11,Axes!$A$2:$A$5,0))</f>
        <v>Préparer et fiabiliser (anticiper, vérifier)</v>
      </c>
      <c r="I11" s="20" t="str">
        <f>INDEX(Axes!$H$2:$H$5,MATCH($B11,Axes!$A$2:$A$5,0))</f>
        <v>Goût de la création ou de l'analyse et de la fiabilité</v>
      </c>
      <c r="J11" s="20" t="str">
        <f>INDEX(Axes!$I$2:$I$5,MATCH($B11,Axes!$A$2:$A$5,0))</f>
        <v>Créer et innover / Analyser et raisonner, Résoudre avec méthode</v>
      </c>
      <c r="K11" s="20" t="s">
        <v>204</v>
      </c>
      <c r="L11" s="20" t="str">
        <f>SUBSTITUTE(Questions!G11,"Exemple : ","")</f>
        <v>un devoir est à rendre demain matin. Tu t'y mets la veille au soir, et c'est là que tes meilleures idées arrivent.</v>
      </c>
      <c r="M11" s="20" t="str">
        <f>Questions!E11</f>
        <v>I</v>
      </c>
      <c r="N11" s="20" t="str">
        <f t="shared" si="0"/>
        <v>F</v>
      </c>
      <c r="O11" s="20" t="str">
        <f>IF(Questions!F11="Oui","Oui","")</f>
        <v/>
      </c>
      <c r="P11" s="20" t="s">
        <v>178</v>
      </c>
      <c r="Q11" s="20" t="s">
        <v>179</v>
      </c>
      <c r="R11" s="20" t="s">
        <v>180</v>
      </c>
      <c r="S11" s="20" t="s">
        <v>176</v>
      </c>
    </row>
    <row r="12" spans="1:19" ht="45.75" customHeight="1" x14ac:dyDescent="0.2">
      <c r="A12" s="20">
        <f>Questions!A12</f>
        <v>11</v>
      </c>
      <c r="B12" s="20">
        <f>Questions!B12</f>
        <v>3</v>
      </c>
      <c r="C12" s="20" t="str">
        <f>Questions!C12</f>
        <v>Mon terrain</v>
      </c>
      <c r="D12" s="20" t="str">
        <f>Questions!D12</f>
        <v>C'est en disant clairement ce que tu penses, même si ça crée de la tension, que tu défends le mieux tes idées.</v>
      </c>
      <c r="E12" s="20" t="str">
        <f>INDEX(Axes!$D$2:$D$5,MATCH($B12,Axes!$A$2:$A$5,0))</f>
        <v>V</v>
      </c>
      <c r="F12" s="20" t="str">
        <f>INDEX(Axes!$E$2:$E$5,MATCH($B12,Axes!$A$2:$A$5,0))</f>
        <v>Côté visible (se montrer, être au contact)</v>
      </c>
      <c r="G12" s="20" t="str">
        <f>INDEX(Axes!$F$2:$F$5,MATCH($B12,Axes!$A$2:$A$5,0))</f>
        <v>C</v>
      </c>
      <c r="H12" s="20" t="str">
        <f>INDEX(Axes!$G$2:$G$5,MATCH($B12,Axes!$A$2:$A$5,0))</f>
        <v>Coulisses (rester en retrait, préparer)</v>
      </c>
      <c r="I12" s="20" t="str">
        <f>INDEX(Axes!$H$2:$H$5,MATCH($B12,Axes!$A$2:$A$5,0))</f>
        <v>Contact avec les utilisateurs ou travail en arrière-plan</v>
      </c>
      <c r="J12" s="20" t="str">
        <f>INDEX(Axes!$I$2:$I$5,MATCH($B12,Axes!$A$2:$A$5,0))</f>
        <v>Communiquer et expliquer / Apprendre à apprendre, Résoudre avec méthode</v>
      </c>
      <c r="K12" s="20" t="s">
        <v>205</v>
      </c>
      <c r="L12" s="20" t="str">
        <f>SUBSTITUTE(Questions!G12,"Exemple : ","")</f>
        <v>en débat, un camarade n'est pas d'accord avec toi. Tu expliques clairement pourquoi tu penses autrement, même si la discussion devient tendue.</v>
      </c>
      <c r="M12" s="20" t="str">
        <f>Questions!E12</f>
        <v>V</v>
      </c>
      <c r="N12" s="20" t="str">
        <f t="shared" si="0"/>
        <v>C</v>
      </c>
      <c r="O12" s="20" t="str">
        <f>IF(Questions!F12="Oui","Oui","")</f>
        <v/>
      </c>
      <c r="P12" s="20" t="s">
        <v>173</v>
      </c>
      <c r="Q12" s="20" t="s">
        <v>182</v>
      </c>
      <c r="R12" s="20" t="s">
        <v>183</v>
      </c>
      <c r="S12" s="20" t="s">
        <v>176</v>
      </c>
    </row>
    <row r="13" spans="1:19" ht="45.75" customHeight="1" x14ac:dyDescent="0.2">
      <c r="A13" s="20">
        <f>Questions!A13</f>
        <v>12</v>
      </c>
      <c r="B13" s="20">
        <f>Questions!B13</f>
        <v>4</v>
      </c>
      <c r="C13" s="20" t="str">
        <f>Questions!C13</f>
        <v>Ma façon de travailler</v>
      </c>
      <c r="D13" s="20" t="str">
        <f>Questions!D13</f>
        <v>C'est quand tu te plonges à fond dans un sujet qui te passionne que tu deviens le plus fort(e).</v>
      </c>
      <c r="E13" s="20" t="str">
        <f>INDEX(Axes!$D$2:$D$5,MATCH($B13,Axes!$A$2:$A$5,0))</f>
        <v>E</v>
      </c>
      <c r="F13" s="20" t="str">
        <f>INDEX(Axes!$E$2:$E$5,MATCH($B13,Axes!$A$2:$A$5,0))</f>
        <v>Expertise en profondeur (je maîtrise à fond)</v>
      </c>
      <c r="G13" s="20" t="str">
        <f>INDEX(Axes!$F$2:$F$5,MATCH($B13,Axes!$A$2:$A$5,0))</f>
        <v>K</v>
      </c>
      <c r="H13" s="20" t="str">
        <f>INDEX(Axes!$G$2:$G$5,MATCH($B13,Axes!$A$2:$A$5,0))</f>
        <v>Collectif et coordination (je fais avancer ensemble)</v>
      </c>
      <c r="I13" s="20" t="str">
        <f>INDEX(Axes!$H$2:$H$5,MATCH($B13,Axes!$A$2:$A$5,0))</f>
        <v>Expertise individuelle ou travail collectif</v>
      </c>
      <c r="J13" s="20" t="str">
        <f>INDEX(Axes!$I$2:$I$5,MATCH($B13,Axes!$A$2:$A$5,0))</f>
        <v>Apprendre à apprendre, Se connaître et s'engager / Coopérer en équipe, S'adapter et rebondir</v>
      </c>
      <c r="K13" s="20" t="s">
        <v>206</v>
      </c>
      <c r="L13" s="20" t="str">
        <f>SUBSTITUTE(Questions!G13,"Exemple : ","")</f>
        <v>tu découvres un sujet qui te passionne (dinosaures, code, musique) et tu y passes tes week-ends jusqu'à tout savoir dessus.</v>
      </c>
      <c r="M13" s="20" t="str">
        <f>Questions!E13</f>
        <v>E</v>
      </c>
      <c r="N13" s="20" t="str">
        <f t="shared" si="0"/>
        <v>K</v>
      </c>
      <c r="O13" s="20" t="str">
        <f>IF(Questions!F13="Oui","Oui","")</f>
        <v/>
      </c>
      <c r="P13" s="20" t="s">
        <v>185</v>
      </c>
      <c r="Q13" s="20" t="s">
        <v>186</v>
      </c>
      <c r="R13" s="20" t="s">
        <v>187</v>
      </c>
      <c r="S13" s="20" t="s">
        <v>176</v>
      </c>
    </row>
    <row r="14" spans="1:19" ht="45.75" customHeight="1" x14ac:dyDescent="0.2">
      <c r="A14" s="20">
        <f>Questions!A14</f>
        <v>13</v>
      </c>
      <c r="B14" s="20">
        <f>Questions!B14</f>
        <v>1</v>
      </c>
      <c r="C14" s="20" t="str">
        <f>Questions!C14</f>
        <v>Ce qui m'attire</v>
      </c>
      <c r="D14" s="20" t="str">
        <f>Questions!D14</f>
        <v>C'est quand ton téléphone bugue et que tu fouilles dans les réglages que tu es le plus efficace.</v>
      </c>
      <c r="E14" s="20" t="str">
        <f>INDEX(Axes!$D$2:$D$5,MATCH($B14,Axes!$A$2:$A$5,0))</f>
        <v>H</v>
      </c>
      <c r="F14" s="20" t="str">
        <f>INDEX(Axes!$E$2:$E$5,MATCH($B14,Axes!$A$2:$A$5,0))</f>
        <v>Les personnes (utilisateurs, équipes)</v>
      </c>
      <c r="G14" s="20" t="str">
        <f>INDEX(Axes!$F$2:$F$5,MATCH($B14,Axes!$A$2:$A$5,0))</f>
        <v>T</v>
      </c>
      <c r="H14" s="20" t="str">
        <f>INDEX(Axes!$G$2:$G$5,MATCH($B14,Axes!$A$2:$A$5,0))</f>
        <v>La technique (code, données, machines)</v>
      </c>
      <c r="I14" s="20" t="str">
        <f>INDEX(Axes!$H$2:$H$5,MATCH($B14,Axes!$A$2:$A$5,0))</f>
        <v>Tourné vers les gens ou vers les systèmes</v>
      </c>
      <c r="J14" s="20" t="str">
        <f>INDEX(Axes!$I$2:$I$5,MATCH($B14,Axes!$A$2:$A$5,0))</f>
        <v>Coopérer en équipe, Communiquer et expliquer / Résoudre avec méthode, Analyser et raisonner</v>
      </c>
      <c r="K14" s="20" t="s">
        <v>207</v>
      </c>
      <c r="L14" s="20" t="str">
        <f>SUBSTITUTE(Questions!G14,"Exemple : ","")</f>
        <v>ton téléphone se fige en plein jeu. Tu ouvres les réglages, tu testes plusieurs options et tu continues jusqu'à ce qu'il remarche.</v>
      </c>
      <c r="M14" s="20" t="str">
        <f>Questions!E14</f>
        <v>T</v>
      </c>
      <c r="N14" s="20" t="str">
        <f t="shared" si="0"/>
        <v>H</v>
      </c>
      <c r="O14" s="20" t="str">
        <f>IF(Questions!F14="Oui","Oui","")</f>
        <v/>
      </c>
      <c r="P14" s="20" t="s">
        <v>189</v>
      </c>
      <c r="Q14" s="20" t="s">
        <v>190</v>
      </c>
      <c r="R14" s="20" t="s">
        <v>191</v>
      </c>
      <c r="S14" s="20" t="s">
        <v>176</v>
      </c>
    </row>
    <row r="15" spans="1:19" ht="45.75" customHeight="1" x14ac:dyDescent="0.2">
      <c r="A15" s="20">
        <f>Questions!A15</f>
        <v>14</v>
      </c>
      <c r="B15" s="20">
        <f>Questions!B15</f>
        <v>2</v>
      </c>
      <c r="C15" s="20" t="str">
        <f>Questions!C15</f>
        <v>Ma démarche</v>
      </c>
      <c r="D15" s="20" t="str">
        <f>Questions!D15</f>
        <v>C'est quand tu as pu tout préparer à l'avance que tu produis les meilleurs résultats.</v>
      </c>
      <c r="E15" s="20" t="str">
        <f>INDEX(Axes!$D$2:$D$5,MATCH($B15,Axes!$A$2:$A$5,0))</f>
        <v>I</v>
      </c>
      <c r="F15" s="20" t="str">
        <f>INDEX(Axes!$E$2:$E$5,MATCH($B15,Axes!$A$2:$A$5,0))</f>
        <v>Improviser et inventer (créer sur le moment, faire autrement)</v>
      </c>
      <c r="G15" s="20" t="str">
        <f>INDEX(Axes!$F$2:$F$5,MATCH($B15,Axes!$A$2:$A$5,0))</f>
        <v>F</v>
      </c>
      <c r="H15" s="20" t="str">
        <f>INDEX(Axes!$G$2:$G$5,MATCH($B15,Axes!$A$2:$A$5,0))</f>
        <v>Préparer et fiabiliser (anticiper, vérifier)</v>
      </c>
      <c r="I15" s="20" t="str">
        <f>INDEX(Axes!$H$2:$H$5,MATCH($B15,Axes!$A$2:$A$5,0))</f>
        <v>Goût de la création ou de l'analyse et de la fiabilité</v>
      </c>
      <c r="J15" s="20" t="str">
        <f>INDEX(Axes!$I$2:$I$5,MATCH($B15,Axes!$A$2:$A$5,0))</f>
        <v>Créer et innover / Analyser et raisonner, Résoudre avec méthode</v>
      </c>
      <c r="K15" s="20" t="s">
        <v>208</v>
      </c>
      <c r="L15" s="20" t="str">
        <f>SUBSTITUTE(Questions!G15,"Exemple : ","")</f>
        <v>un devoir est à rendre dans une semaine. Tu le prépares par étapes dès les premiers jours et tu rends un travail dont tu es content(e).</v>
      </c>
      <c r="M15" s="20" t="str">
        <f>Questions!E15</f>
        <v>F</v>
      </c>
      <c r="N15" s="20" t="str">
        <f t="shared" si="0"/>
        <v>I</v>
      </c>
      <c r="O15" s="20" t="str">
        <f>IF(Questions!F15="Oui","Oui","")</f>
        <v/>
      </c>
      <c r="P15" s="20" t="s">
        <v>193</v>
      </c>
      <c r="Q15" s="20" t="s">
        <v>194</v>
      </c>
      <c r="R15" s="20" t="s">
        <v>195</v>
      </c>
      <c r="S15" s="20" t="s">
        <v>176</v>
      </c>
    </row>
    <row r="16" spans="1:19" ht="45.75" customHeight="1" x14ac:dyDescent="0.2">
      <c r="A16" s="20">
        <f>Questions!A16</f>
        <v>15</v>
      </c>
      <c r="B16" s="20">
        <f>Questions!B16</f>
        <v>3</v>
      </c>
      <c r="C16" s="20" t="str">
        <f>Questions!C16</f>
        <v>Mon terrain</v>
      </c>
      <c r="D16" s="20" t="str">
        <f>Questions!D16</f>
        <v>C'est quand tu laisses passer un désaccord en classe pour garder le calme que tu te sens le mieux.</v>
      </c>
      <c r="E16" s="20" t="str">
        <f>INDEX(Axes!$D$2:$D$5,MATCH($B16,Axes!$A$2:$A$5,0))</f>
        <v>V</v>
      </c>
      <c r="F16" s="20" t="str">
        <f>INDEX(Axes!$E$2:$E$5,MATCH($B16,Axes!$A$2:$A$5,0))</f>
        <v>Côté visible (se montrer, être au contact)</v>
      </c>
      <c r="G16" s="20" t="str">
        <f>INDEX(Axes!$F$2:$F$5,MATCH($B16,Axes!$A$2:$A$5,0))</f>
        <v>C</v>
      </c>
      <c r="H16" s="20" t="str">
        <f>INDEX(Axes!$G$2:$G$5,MATCH($B16,Axes!$A$2:$A$5,0))</f>
        <v>Coulisses (rester en retrait, préparer)</v>
      </c>
      <c r="I16" s="20" t="str">
        <f>INDEX(Axes!$H$2:$H$5,MATCH($B16,Axes!$A$2:$A$5,0))</f>
        <v>Contact avec les utilisateurs ou travail en arrière-plan</v>
      </c>
      <c r="J16" s="20" t="str">
        <f>INDEX(Axes!$I$2:$I$5,MATCH($B16,Axes!$A$2:$A$5,0))</f>
        <v>Communiquer et expliquer / Apprendre à apprendre, Résoudre avec méthode</v>
      </c>
      <c r="K16" s="20" t="s">
        <v>209</v>
      </c>
      <c r="L16" s="20" t="str">
        <f>SUBSTITUTE(Questions!G16,"Exemple : ","")</f>
        <v>en classe, quelqu'un te contredit. Tu choisis de ne pas insister pour que la discussion reste calme.</v>
      </c>
      <c r="M16" s="20" t="str">
        <f>Questions!E16</f>
        <v>C</v>
      </c>
      <c r="N16" s="20" t="str">
        <f t="shared" si="0"/>
        <v>V</v>
      </c>
      <c r="O16" s="20" t="str">
        <f>IF(Questions!F16="Oui","Oui","")</f>
        <v/>
      </c>
      <c r="P16" s="20" t="s">
        <v>197</v>
      </c>
      <c r="Q16" s="20" t="s">
        <v>198</v>
      </c>
      <c r="R16" s="20" t="s">
        <v>191</v>
      </c>
      <c r="S16" s="20" t="s">
        <v>176</v>
      </c>
    </row>
    <row r="17" spans="1:19" ht="45.75" customHeight="1" x14ac:dyDescent="0.2">
      <c r="A17" s="20">
        <f>Questions!A17</f>
        <v>16</v>
      </c>
      <c r="B17" s="20">
        <f>Questions!B17</f>
        <v>4</v>
      </c>
      <c r="C17" s="20" t="str">
        <f>Questions!C17</f>
        <v>Ma façon de travailler</v>
      </c>
      <c r="D17" s="20" t="str">
        <f>Questions!D17</f>
        <v>C'est en répartissant les rôles et en coordonnant tout le monde que tu fais le mieux avancer un projet de groupe.</v>
      </c>
      <c r="E17" s="20" t="str">
        <f>INDEX(Axes!$D$2:$D$5,MATCH($B17,Axes!$A$2:$A$5,0))</f>
        <v>E</v>
      </c>
      <c r="F17" s="20" t="str">
        <f>INDEX(Axes!$E$2:$E$5,MATCH($B17,Axes!$A$2:$A$5,0))</f>
        <v>Expertise en profondeur (je maîtrise à fond)</v>
      </c>
      <c r="G17" s="20" t="str">
        <f>INDEX(Axes!$F$2:$F$5,MATCH($B17,Axes!$A$2:$A$5,0))</f>
        <v>K</v>
      </c>
      <c r="H17" s="20" t="str">
        <f>INDEX(Axes!$G$2:$G$5,MATCH($B17,Axes!$A$2:$A$5,0))</f>
        <v>Collectif et coordination (je fais avancer ensemble)</v>
      </c>
      <c r="I17" s="20" t="str">
        <f>INDEX(Axes!$H$2:$H$5,MATCH($B17,Axes!$A$2:$A$5,0))</f>
        <v>Expertise individuelle ou travail collectif</v>
      </c>
      <c r="J17" s="20" t="str">
        <f>INDEX(Axes!$I$2:$I$5,MATCH($B17,Axes!$A$2:$A$5,0))</f>
        <v>Apprendre à apprendre, Se connaître et s'engager / Coopérer en équipe, S'adapter et rebondir</v>
      </c>
      <c r="K17" s="20" t="s">
        <v>210</v>
      </c>
      <c r="L17" s="20" t="str">
        <f>SUBSTITUTE(Questions!G17,"Exemple : ","")</f>
        <v>dans un projet de groupe, tu dis « Toi tu cherches, toi tu rédiges, toi tu fais l'affiche » et tu suis l'avancement de chacun.</v>
      </c>
      <c r="M17" s="20" t="str">
        <f>Questions!E17</f>
        <v>K</v>
      </c>
      <c r="N17" s="20" t="str">
        <f t="shared" si="0"/>
        <v>E</v>
      </c>
      <c r="O17" s="20" t="str">
        <f>IF(Questions!F17="Oui","Oui","")</f>
        <v/>
      </c>
      <c r="P17" s="20" t="s">
        <v>200</v>
      </c>
      <c r="Q17" s="20" t="s">
        <v>201</v>
      </c>
      <c r="R17" s="20" t="s">
        <v>202</v>
      </c>
      <c r="S17" s="20" t="s">
        <v>176</v>
      </c>
    </row>
    <row r="18" spans="1:19" ht="45.75" customHeight="1" x14ac:dyDescent="0.2">
      <c r="A18" s="20">
        <f>Questions!A18</f>
        <v>17</v>
      </c>
      <c r="B18" s="20">
        <f>Questions!B18</f>
        <v>1</v>
      </c>
      <c r="C18" s="20" t="str">
        <f>Questions!C18</f>
        <v>Ce qui m'attire</v>
      </c>
      <c r="D18" s="20" t="str">
        <f>Questions!D18</f>
        <v>C'est quand tu dois captiver ceux qui t'écoutent (exposé, présentation) que tu produis tes meilleurs résultats.</v>
      </c>
      <c r="E18" s="20" t="str">
        <f>INDEX(Axes!$D$2:$D$5,MATCH($B18,Axes!$A$2:$A$5,0))</f>
        <v>H</v>
      </c>
      <c r="F18" s="20" t="str">
        <f>INDEX(Axes!$E$2:$E$5,MATCH($B18,Axes!$A$2:$A$5,0))</f>
        <v>Les personnes (utilisateurs, équipes)</v>
      </c>
      <c r="G18" s="20" t="str">
        <f>INDEX(Axes!$F$2:$F$5,MATCH($B18,Axes!$A$2:$A$5,0))</f>
        <v>T</v>
      </c>
      <c r="H18" s="20" t="str">
        <f>INDEX(Axes!$G$2:$G$5,MATCH($B18,Axes!$A$2:$A$5,0))</f>
        <v>La technique (code, données, machines)</v>
      </c>
      <c r="I18" s="20" t="str">
        <f>INDEX(Axes!$H$2:$H$5,MATCH($B18,Axes!$A$2:$A$5,0))</f>
        <v>Tourné vers les gens ou vers les systèmes</v>
      </c>
      <c r="J18" s="20" t="str">
        <f>INDEX(Axes!$I$2:$I$5,MATCH($B18,Axes!$A$2:$A$5,0))</f>
        <v>Coopérer en équipe, Communiquer et expliquer / Résoudre avec méthode, Analyser et raisonner</v>
      </c>
      <c r="K18" s="20" t="s">
        <v>211</v>
      </c>
      <c r="L18" s="20" t="str">
        <f>SUBSTITUTE(Questions!G18,"Exemple : ","")</f>
        <v>tu dois présenter un exposé à la classe. Tu cherches une accroche, une anecdote ou une question pour que tout le monde écoute jusqu'au bout.</v>
      </c>
      <c r="M18" s="20" t="str">
        <f>Questions!E18</f>
        <v>H</v>
      </c>
      <c r="N18" s="20" t="str">
        <f t="shared" si="0"/>
        <v>T</v>
      </c>
      <c r="O18" s="20" t="str">
        <f>IF(Questions!F18="Oui","Oui","")</f>
        <v/>
      </c>
      <c r="P18" s="20" t="s">
        <v>173</v>
      </c>
      <c r="Q18" s="20" t="s">
        <v>174</v>
      </c>
      <c r="R18" s="20" t="s">
        <v>175</v>
      </c>
      <c r="S18" s="20" t="s">
        <v>176</v>
      </c>
    </row>
    <row r="19" spans="1:19" ht="45.75" customHeight="1" x14ac:dyDescent="0.2">
      <c r="A19" s="20">
        <f>Questions!A19</f>
        <v>18</v>
      </c>
      <c r="B19" s="20">
        <f>Questions!B19</f>
        <v>2</v>
      </c>
      <c r="C19" s="20" t="str">
        <f>Questions!C19</f>
        <v>Ma démarche</v>
      </c>
      <c r="D19" s="20" t="str">
        <f>Questions!D19</f>
        <v>C'est en inventant une nouvelle règle ou une nouvelle version d'un jeu de société que tu t'amuses le plus.</v>
      </c>
      <c r="E19" s="20" t="str">
        <f>INDEX(Axes!$D$2:$D$5,MATCH($B19,Axes!$A$2:$A$5,0))</f>
        <v>I</v>
      </c>
      <c r="F19" s="20" t="str">
        <f>INDEX(Axes!$E$2:$E$5,MATCH($B19,Axes!$A$2:$A$5,0))</f>
        <v>Improviser et inventer (créer sur le moment, faire autrement)</v>
      </c>
      <c r="G19" s="20" t="str">
        <f>INDEX(Axes!$F$2:$F$5,MATCH($B19,Axes!$A$2:$A$5,0))</f>
        <v>F</v>
      </c>
      <c r="H19" s="20" t="str">
        <f>INDEX(Axes!$G$2:$G$5,MATCH($B19,Axes!$A$2:$A$5,0))</f>
        <v>Préparer et fiabiliser (anticiper, vérifier)</v>
      </c>
      <c r="I19" s="20" t="str">
        <f>INDEX(Axes!$H$2:$H$5,MATCH($B19,Axes!$A$2:$A$5,0))</f>
        <v>Goût de la création ou de l'analyse et de la fiabilité</v>
      </c>
      <c r="J19" s="20" t="str">
        <f>INDEX(Axes!$I$2:$I$5,MATCH($B19,Axes!$A$2:$A$5,0))</f>
        <v>Créer et innover / Analyser et raisonner, Résoudre avec méthode</v>
      </c>
      <c r="K19" s="20" t="s">
        <v>212</v>
      </c>
      <c r="L19" s="20" t="str">
        <f>SUBSTITUTE(Questions!G19,"Exemple : ","")</f>
        <v>en jouant au Uno ou au Monopoly, tu proposes une règle de ton invention (un défi, un bonus) pour pimenter la partie.</v>
      </c>
      <c r="M19" s="20" t="str">
        <f>Questions!E19</f>
        <v>I</v>
      </c>
      <c r="N19" s="20" t="str">
        <f t="shared" si="0"/>
        <v>F</v>
      </c>
      <c r="O19" s="20" t="str">
        <f>IF(Questions!F19="Oui","Oui","")</f>
        <v/>
      </c>
      <c r="P19" s="20" t="s">
        <v>178</v>
      </c>
      <c r="Q19" s="20" t="s">
        <v>179</v>
      </c>
      <c r="R19" s="20" t="s">
        <v>180</v>
      </c>
      <c r="S19" s="20" t="s">
        <v>176</v>
      </c>
    </row>
    <row r="20" spans="1:19" ht="45.75" customHeight="1" x14ac:dyDescent="0.2">
      <c r="A20" s="20">
        <f>Questions!A20</f>
        <v>19</v>
      </c>
      <c r="B20" s="20">
        <f>Questions!B20</f>
        <v>3</v>
      </c>
      <c r="C20" s="20" t="str">
        <f>Questions!C20</f>
        <v>Mon terrain</v>
      </c>
      <c r="D20" s="20" t="str">
        <f>Questions!D20</f>
        <v>C'est quand on voit ce que tu as créé (dessin, projet, vidéo) que tu te sens le plus motivé(e).</v>
      </c>
      <c r="E20" s="20" t="str">
        <f>INDEX(Axes!$D$2:$D$5,MATCH($B20,Axes!$A$2:$A$5,0))</f>
        <v>V</v>
      </c>
      <c r="F20" s="20" t="str">
        <f>INDEX(Axes!$E$2:$E$5,MATCH($B20,Axes!$A$2:$A$5,0))</f>
        <v>Côté visible (se montrer, être au contact)</v>
      </c>
      <c r="G20" s="20" t="str">
        <f>INDEX(Axes!$F$2:$F$5,MATCH($B20,Axes!$A$2:$A$5,0))</f>
        <v>C</v>
      </c>
      <c r="H20" s="20" t="str">
        <f>INDEX(Axes!$G$2:$G$5,MATCH($B20,Axes!$A$2:$A$5,0))</f>
        <v>Coulisses (rester en retrait, préparer)</v>
      </c>
      <c r="I20" s="20" t="str">
        <f>INDEX(Axes!$H$2:$H$5,MATCH($B20,Axes!$A$2:$A$5,0))</f>
        <v>Contact avec les utilisateurs ou travail en arrière-plan</v>
      </c>
      <c r="J20" s="20" t="str">
        <f>INDEX(Axes!$I$2:$I$5,MATCH($B20,Axes!$A$2:$A$5,0))</f>
        <v>Communiquer et expliquer / Apprendre à apprendre, Résoudre avec méthode</v>
      </c>
      <c r="K20" s="20" t="s">
        <v>213</v>
      </c>
      <c r="L20" s="20" t="str">
        <f>SUBSTITUTE(Questions!G20,"Exemple : ","")</f>
        <v>tu fais un dessin, une vidéo ou un projet de techno ; il est affiché ou partagé et les autres peuvent le voir et réagir.</v>
      </c>
      <c r="M20" s="20" t="str">
        <f>Questions!E20</f>
        <v>V</v>
      </c>
      <c r="N20" s="20" t="str">
        <f t="shared" si="0"/>
        <v>C</v>
      </c>
      <c r="O20" s="20" t="str">
        <f>IF(Questions!F20="Oui","Oui","")</f>
        <v/>
      </c>
      <c r="P20" s="20" t="s">
        <v>173</v>
      </c>
      <c r="Q20" s="20" t="s">
        <v>182</v>
      </c>
      <c r="R20" s="20" t="s">
        <v>183</v>
      </c>
      <c r="S20" s="20" t="s">
        <v>176</v>
      </c>
    </row>
    <row r="21" spans="1:19" ht="45.75" customHeight="1" x14ac:dyDescent="0.2">
      <c r="A21" s="20">
        <f>Questions!A21</f>
        <v>20</v>
      </c>
      <c r="B21" s="20">
        <f>Questions!B21</f>
        <v>4</v>
      </c>
      <c r="C21" s="20" t="str">
        <f>Questions!C21</f>
        <v>Ma façon de travailler</v>
      </c>
      <c r="D21" s="20" t="str">
        <f>Questions!D21</f>
        <v>C'est en prenant en charge seul(e) une partie difficile d'un projet de groupe que tu donnes le meilleur de toi.</v>
      </c>
      <c r="E21" s="20" t="str">
        <f>INDEX(Axes!$D$2:$D$5,MATCH($B21,Axes!$A$2:$A$5,0))</f>
        <v>E</v>
      </c>
      <c r="F21" s="20" t="str">
        <f>INDEX(Axes!$E$2:$E$5,MATCH($B21,Axes!$A$2:$A$5,0))</f>
        <v>Expertise en profondeur (je maîtrise à fond)</v>
      </c>
      <c r="G21" s="20" t="str">
        <f>INDEX(Axes!$F$2:$F$5,MATCH($B21,Axes!$A$2:$A$5,0))</f>
        <v>K</v>
      </c>
      <c r="H21" s="20" t="str">
        <f>INDEX(Axes!$G$2:$G$5,MATCH($B21,Axes!$A$2:$A$5,0))</f>
        <v>Collectif et coordination (je fais avancer ensemble)</v>
      </c>
      <c r="I21" s="20" t="str">
        <f>INDEX(Axes!$H$2:$H$5,MATCH($B21,Axes!$A$2:$A$5,0))</f>
        <v>Expertise individuelle ou travail collectif</v>
      </c>
      <c r="J21" s="20" t="str">
        <f>INDEX(Axes!$I$2:$I$5,MATCH($B21,Axes!$A$2:$A$5,0))</f>
        <v>Apprendre à apprendre, Se connaître et s'engager / Coopérer en équipe, S'adapter et rebondir</v>
      </c>
      <c r="K21" s="20" t="s">
        <v>214</v>
      </c>
      <c r="L21" s="20" t="str">
        <f>SUBSTITUTE(Questions!G21,"Exemple : ","")</f>
        <v>dans le projet de groupe, la partie la plus compliquée (le code, le calcul) ne tente personne ; tu la prends et tu la finis seul(e).</v>
      </c>
      <c r="M21" s="20" t="str">
        <f>Questions!E21</f>
        <v>E</v>
      </c>
      <c r="N21" s="20" t="str">
        <f t="shared" si="0"/>
        <v>K</v>
      </c>
      <c r="O21" s="20" t="str">
        <f>IF(Questions!F21="Oui","Oui","")</f>
        <v/>
      </c>
      <c r="P21" s="20" t="s">
        <v>185</v>
      </c>
      <c r="Q21" s="20" t="s">
        <v>186</v>
      </c>
      <c r="R21" s="20" t="s">
        <v>187</v>
      </c>
      <c r="S21" s="20" t="s">
        <v>176</v>
      </c>
    </row>
    <row r="22" spans="1:19" ht="45.75" customHeight="1" x14ac:dyDescent="0.2">
      <c r="A22" s="20">
        <f>Questions!A22</f>
        <v>21</v>
      </c>
      <c r="B22" s="20">
        <f>Questions!B22</f>
        <v>1</v>
      </c>
      <c r="C22" s="20" t="str">
        <f>Questions!C22</f>
        <v>Ce qui m'attire</v>
      </c>
      <c r="D22" s="20" t="str">
        <f>Questions!D22</f>
        <v>C'est en testant tous les boutons d'un nouvel appareil que tu comprends le mieux comment il marche.</v>
      </c>
      <c r="E22" s="20" t="str">
        <f>INDEX(Axes!$D$2:$D$5,MATCH($B22,Axes!$A$2:$A$5,0))</f>
        <v>H</v>
      </c>
      <c r="F22" s="20" t="str">
        <f>INDEX(Axes!$E$2:$E$5,MATCH($B22,Axes!$A$2:$A$5,0))</f>
        <v>Les personnes (utilisateurs, équipes)</v>
      </c>
      <c r="G22" s="20" t="str">
        <f>INDEX(Axes!$F$2:$F$5,MATCH($B22,Axes!$A$2:$A$5,0))</f>
        <v>T</v>
      </c>
      <c r="H22" s="20" t="str">
        <f>INDEX(Axes!$G$2:$G$5,MATCH($B22,Axes!$A$2:$A$5,0))</f>
        <v>La technique (code, données, machines)</v>
      </c>
      <c r="I22" s="20" t="str">
        <f>INDEX(Axes!$H$2:$H$5,MATCH($B22,Axes!$A$2:$A$5,0))</f>
        <v>Tourné vers les gens ou vers les systèmes</v>
      </c>
      <c r="J22" s="20" t="str">
        <f>INDEX(Axes!$I$2:$I$5,MATCH($B22,Axes!$A$2:$A$5,0))</f>
        <v>Coopérer en équipe, Communiquer et expliquer / Résoudre avec méthode, Analyser et raisonner</v>
      </c>
      <c r="K22" s="20" t="s">
        <v>215</v>
      </c>
      <c r="L22" s="20" t="str">
        <f>SUBSTITUTE(Questions!G22,"Exemple : ","")</f>
        <v>tu reçois une enceinte ou une manette que tu ne connais pas. Tu appuies sur chaque bouton pour voir ce qui se passe, avant même d'ouvrir la notice.</v>
      </c>
      <c r="M22" s="20" t="str">
        <f>Questions!E22</f>
        <v>T</v>
      </c>
      <c r="N22" s="20" t="str">
        <f t="shared" si="0"/>
        <v>H</v>
      </c>
      <c r="O22" s="20" t="str">
        <f>IF(Questions!F22="Oui","Oui","")</f>
        <v/>
      </c>
      <c r="P22" s="20" t="s">
        <v>189</v>
      </c>
      <c r="Q22" s="20" t="s">
        <v>190</v>
      </c>
      <c r="R22" s="20" t="s">
        <v>191</v>
      </c>
      <c r="S22" s="20" t="s">
        <v>176</v>
      </c>
    </row>
    <row r="23" spans="1:19" ht="45.75" customHeight="1" x14ac:dyDescent="0.2">
      <c r="A23" s="20">
        <f>Questions!A23</f>
        <v>22</v>
      </c>
      <c r="B23" s="20">
        <f>Questions!B23</f>
        <v>2</v>
      </c>
      <c r="C23" s="20" t="str">
        <f>Questions!C23</f>
        <v>Ma démarche</v>
      </c>
      <c r="D23" s="20" t="str">
        <f>Questions!D23</f>
        <v>C'est en connaissant toutes les règles d'un jeu de société et en vérifiant qu'elles sont respectées que tu t'amuses le plus.</v>
      </c>
      <c r="E23" s="20" t="str">
        <f>INDEX(Axes!$D$2:$D$5,MATCH($B23,Axes!$A$2:$A$5,0))</f>
        <v>I</v>
      </c>
      <c r="F23" s="20" t="str">
        <f>INDEX(Axes!$E$2:$E$5,MATCH($B23,Axes!$A$2:$A$5,0))</f>
        <v>Improviser et inventer (créer sur le moment, faire autrement)</v>
      </c>
      <c r="G23" s="20" t="str">
        <f>INDEX(Axes!$F$2:$F$5,MATCH($B23,Axes!$A$2:$A$5,0))</f>
        <v>F</v>
      </c>
      <c r="H23" s="20" t="str">
        <f>INDEX(Axes!$G$2:$G$5,MATCH($B23,Axes!$A$2:$A$5,0))</f>
        <v>Préparer et fiabiliser (anticiper, vérifier)</v>
      </c>
      <c r="I23" s="20" t="str">
        <f>INDEX(Axes!$H$2:$H$5,MATCH($B23,Axes!$A$2:$A$5,0))</f>
        <v>Goût de la création ou de l'analyse et de la fiabilité</v>
      </c>
      <c r="J23" s="20" t="str">
        <f>INDEX(Axes!$I$2:$I$5,MATCH($B23,Axes!$A$2:$A$5,0))</f>
        <v>Créer et innover / Analyser et raisonner, Résoudre avec méthode</v>
      </c>
      <c r="K23" s="20" t="s">
        <v>216</v>
      </c>
      <c r="L23" s="20" t="str">
        <f>SUBSTITUTE(Questions!G23,"Exemple : ","")</f>
        <v>pendant une partie, tu connais la règle exacte et tu rappelles à tes amis qui doit jouer et comment se calculent les points.</v>
      </c>
      <c r="M23" s="20" t="str">
        <f>Questions!E23</f>
        <v>F</v>
      </c>
      <c r="N23" s="20" t="str">
        <f t="shared" si="0"/>
        <v>I</v>
      </c>
      <c r="O23" s="20" t="str">
        <f>IF(Questions!F23="Oui","Oui","")</f>
        <v/>
      </c>
      <c r="P23" s="20" t="s">
        <v>193</v>
      </c>
      <c r="Q23" s="20" t="s">
        <v>194</v>
      </c>
      <c r="R23" s="20" t="s">
        <v>195</v>
      </c>
      <c r="S23" s="20" t="s">
        <v>176</v>
      </c>
    </row>
    <row r="24" spans="1:19" ht="45.75" customHeight="1" x14ac:dyDescent="0.2">
      <c r="A24" s="20">
        <f>Questions!A24</f>
        <v>23</v>
      </c>
      <c r="B24" s="20">
        <f>Questions!B24</f>
        <v>3</v>
      </c>
      <c r="C24" s="20" t="str">
        <f>Questions!C24</f>
        <v>Mon terrain</v>
      </c>
      <c r="D24" s="20" t="str">
        <f>Questions!D24</f>
        <v>C'est quand tu travailles dans ton coin, sans que ton travail soit forcément montré, que tu produis tes meilleurs résultats.</v>
      </c>
      <c r="E24" s="20" t="str">
        <f>INDEX(Axes!$D$2:$D$5,MATCH($B24,Axes!$A$2:$A$5,0))</f>
        <v>V</v>
      </c>
      <c r="F24" s="20" t="str">
        <f>INDEX(Axes!$E$2:$E$5,MATCH($B24,Axes!$A$2:$A$5,0))</f>
        <v>Côté visible (se montrer, être au contact)</v>
      </c>
      <c r="G24" s="20" t="str">
        <f>INDEX(Axes!$F$2:$F$5,MATCH($B24,Axes!$A$2:$A$5,0))</f>
        <v>C</v>
      </c>
      <c r="H24" s="20" t="str">
        <f>INDEX(Axes!$G$2:$G$5,MATCH($B24,Axes!$A$2:$A$5,0))</f>
        <v>Coulisses (rester en retrait, préparer)</v>
      </c>
      <c r="I24" s="20" t="str">
        <f>INDEX(Axes!$H$2:$H$5,MATCH($B24,Axes!$A$2:$A$5,0))</f>
        <v>Contact avec les utilisateurs ou travail en arrière-plan</v>
      </c>
      <c r="J24" s="20" t="str">
        <f>INDEX(Axes!$I$2:$I$5,MATCH($B24,Axes!$A$2:$A$5,0))</f>
        <v>Communiquer et expliquer / Apprendre à apprendre, Résoudre avec méthode</v>
      </c>
      <c r="K24" s="20" t="s">
        <v>217</v>
      </c>
      <c r="L24" s="20" t="str">
        <f>SUBSTITUTE(Questions!G24,"Exemple : ","")</f>
        <v>tu passes un après-midi à avancer sur ton projet dans ton coin, sans le montrer avant qu'il soit fini.</v>
      </c>
      <c r="M24" s="20" t="str">
        <f>Questions!E24</f>
        <v>C</v>
      </c>
      <c r="N24" s="20" t="str">
        <f t="shared" si="0"/>
        <v>V</v>
      </c>
      <c r="O24" s="20" t="str">
        <f>IF(Questions!F24="Oui","Oui","")</f>
        <v/>
      </c>
      <c r="P24" s="20" t="s">
        <v>197</v>
      </c>
      <c r="Q24" s="20" t="s">
        <v>198</v>
      </c>
      <c r="R24" s="20" t="s">
        <v>191</v>
      </c>
      <c r="S24" s="20" t="s">
        <v>176</v>
      </c>
    </row>
    <row r="25" spans="1:19" ht="45.75" customHeight="1" x14ac:dyDescent="0.2">
      <c r="A25" s="20">
        <f>Questions!A25</f>
        <v>24</v>
      </c>
      <c r="B25" s="20">
        <f>Questions!B25</f>
        <v>4</v>
      </c>
      <c r="C25" s="20" t="str">
        <f>Questions!C25</f>
        <v>Ma façon de travailler</v>
      </c>
      <c r="D25" s="20" t="str">
        <f>Questions!D25</f>
        <v>C'est en lançant un projet avec plusieurs amis que tu es le plus motivé(e).</v>
      </c>
      <c r="E25" s="20" t="str">
        <f>INDEX(Axes!$D$2:$D$5,MATCH($B25,Axes!$A$2:$A$5,0))</f>
        <v>E</v>
      </c>
      <c r="F25" s="20" t="str">
        <f>INDEX(Axes!$E$2:$E$5,MATCH($B25,Axes!$A$2:$A$5,0))</f>
        <v>Expertise en profondeur (je maîtrise à fond)</v>
      </c>
      <c r="G25" s="20" t="str">
        <f>INDEX(Axes!$F$2:$F$5,MATCH($B25,Axes!$A$2:$A$5,0))</f>
        <v>K</v>
      </c>
      <c r="H25" s="20" t="str">
        <f>INDEX(Axes!$G$2:$G$5,MATCH($B25,Axes!$A$2:$A$5,0))</f>
        <v>Collectif et coordination (je fais avancer ensemble)</v>
      </c>
      <c r="I25" s="20" t="str">
        <f>INDEX(Axes!$H$2:$H$5,MATCH($B25,Axes!$A$2:$A$5,0))</f>
        <v>Expertise individuelle ou travail collectif</v>
      </c>
      <c r="J25" s="20" t="str">
        <f>INDEX(Axes!$I$2:$I$5,MATCH($B25,Axes!$A$2:$A$5,0))</f>
        <v>Apprendre à apprendre, Se connaître et s'engager / Coopérer en équipe, S'adapter et rebondir</v>
      </c>
      <c r="K25" s="20" t="s">
        <v>218</v>
      </c>
      <c r="L25" s="20" t="str">
        <f>SUBSTITUTE(Questions!G25,"Exemple : ","")</f>
        <v>tu proposes à tes amis de monter ensemble une chaîne vidéo, un club ou un tournoi.</v>
      </c>
      <c r="M25" s="20" t="str">
        <f>Questions!E25</f>
        <v>K</v>
      </c>
      <c r="N25" s="20" t="str">
        <f t="shared" si="0"/>
        <v>E</v>
      </c>
      <c r="O25" s="20" t="str">
        <f>IF(Questions!F25="Oui","Oui","")</f>
        <v/>
      </c>
      <c r="P25" s="20" t="s">
        <v>200</v>
      </c>
      <c r="Q25" s="20" t="s">
        <v>201</v>
      </c>
      <c r="R25" s="20" t="s">
        <v>202</v>
      </c>
      <c r="S25" s="20" t="s">
        <v>176</v>
      </c>
    </row>
    <row r="26" spans="1:19" ht="45.75" customHeight="1" x14ac:dyDescent="0.2">
      <c r="A26" s="20">
        <f>Questions!A26</f>
        <v>25</v>
      </c>
      <c r="B26" s="20">
        <f>Questions!B26</f>
        <v>1</v>
      </c>
      <c r="C26" s="20" t="str">
        <f>Questions!C26</f>
        <v>Ce qui m'attire</v>
      </c>
      <c r="D26" s="20" t="str">
        <f>Questions!D26</f>
        <v>C'est en observant les gens que tu devines le mieux ce qui leur ferait plaisir.</v>
      </c>
      <c r="E26" s="20" t="str">
        <f>INDEX(Axes!$D$2:$D$5,MATCH($B26,Axes!$A$2:$A$5,0))</f>
        <v>H</v>
      </c>
      <c r="F26" s="20" t="str">
        <f>INDEX(Axes!$E$2:$E$5,MATCH($B26,Axes!$A$2:$A$5,0))</f>
        <v>Les personnes (utilisateurs, équipes)</v>
      </c>
      <c r="G26" s="20" t="str">
        <f>INDEX(Axes!$F$2:$F$5,MATCH($B26,Axes!$A$2:$A$5,0))</f>
        <v>T</v>
      </c>
      <c r="H26" s="20" t="str">
        <f>INDEX(Axes!$G$2:$G$5,MATCH($B26,Axes!$A$2:$A$5,0))</f>
        <v>La technique (code, données, machines)</v>
      </c>
      <c r="I26" s="20" t="str">
        <f>INDEX(Axes!$H$2:$H$5,MATCH($B26,Axes!$A$2:$A$5,0))</f>
        <v>Tourné vers les gens ou vers les systèmes</v>
      </c>
      <c r="J26" s="20" t="str">
        <f>INDEX(Axes!$I$2:$I$5,MATCH($B26,Axes!$A$2:$A$5,0))</f>
        <v>Coopérer en équipe, Communiquer et expliquer / Résoudre avec méthode, Analyser et raisonner</v>
      </c>
      <c r="K26" s="20" t="s">
        <v>219</v>
      </c>
      <c r="L26" s="20" t="str">
        <f>SUBSTITUTE(Questions!G26,"Exemple : ","")</f>
        <v>à la cantine ou au repas de famille, tu remarques ce qu'un ami regarde ou aime, et tu en déduis le cadeau qui lui plairait.</v>
      </c>
      <c r="M26" s="20" t="str">
        <f>Questions!E26</f>
        <v>H</v>
      </c>
      <c r="N26" s="20" t="str">
        <f t="shared" si="0"/>
        <v>T</v>
      </c>
      <c r="O26" s="20" t="str">
        <f>IF(Questions!F26="Oui","Oui","")</f>
        <v/>
      </c>
      <c r="P26" s="20" t="s">
        <v>173</v>
      </c>
      <c r="Q26" s="20" t="s">
        <v>174</v>
      </c>
      <c r="R26" s="20" t="s">
        <v>175</v>
      </c>
      <c r="S26" s="20" t="s">
        <v>176</v>
      </c>
    </row>
    <row r="27" spans="1:19" ht="45.75" customHeight="1" x14ac:dyDescent="0.2">
      <c r="A27" s="20">
        <f>Questions!A27</f>
        <v>26</v>
      </c>
      <c r="B27" s="20">
        <f>Questions!B27</f>
        <v>2</v>
      </c>
      <c r="C27" s="20" t="str">
        <f>Questions!C27</f>
        <v>Ma démarche</v>
      </c>
      <c r="D27" s="20" t="str">
        <f>Questions!D27</f>
        <v>C'est quand il manque un matériel et que tu bricoles une solution avec ce que tu as sous la main que tu es le plus à ton aise.</v>
      </c>
      <c r="E27" s="20" t="str">
        <f>INDEX(Axes!$D$2:$D$5,MATCH($B27,Axes!$A$2:$A$5,0))</f>
        <v>I</v>
      </c>
      <c r="F27" s="20" t="str">
        <f>INDEX(Axes!$E$2:$E$5,MATCH($B27,Axes!$A$2:$A$5,0))</f>
        <v>Improviser et inventer (créer sur le moment, faire autrement)</v>
      </c>
      <c r="G27" s="20" t="str">
        <f>INDEX(Axes!$F$2:$F$5,MATCH($B27,Axes!$A$2:$A$5,0))</f>
        <v>F</v>
      </c>
      <c r="H27" s="20" t="str">
        <f>INDEX(Axes!$G$2:$G$5,MATCH($B27,Axes!$A$2:$A$5,0))</f>
        <v>Préparer et fiabiliser (anticiper, vérifier)</v>
      </c>
      <c r="I27" s="20" t="str">
        <f>INDEX(Axes!$H$2:$H$5,MATCH($B27,Axes!$A$2:$A$5,0))</f>
        <v>Goût de la création ou de l'analyse et de la fiabilité</v>
      </c>
      <c r="J27" s="20" t="str">
        <f>INDEX(Axes!$I$2:$I$5,MATCH($B27,Axes!$A$2:$A$5,0))</f>
        <v>Créer et innover / Analyser et raisonner, Résoudre avec méthode</v>
      </c>
      <c r="K27" s="20" t="s">
        <v>220</v>
      </c>
      <c r="L27" s="20" t="str">
        <f>SUBSTITUTE(Questions!G27,"Exemple : ","")</f>
        <v>pour un projet de techno, tu n'as pas de colle : tu fabriques une fixation avec du scotch, des élastiques ou du carton.</v>
      </c>
      <c r="M27" s="20" t="str">
        <f>Questions!E27</f>
        <v>I</v>
      </c>
      <c r="N27" s="20" t="str">
        <f t="shared" si="0"/>
        <v>F</v>
      </c>
      <c r="O27" s="20" t="str">
        <f>IF(Questions!F27="Oui","Oui","")</f>
        <v/>
      </c>
      <c r="P27" s="20" t="s">
        <v>178</v>
      </c>
      <c r="Q27" s="20" t="s">
        <v>179</v>
      </c>
      <c r="R27" s="20" t="s">
        <v>180</v>
      </c>
      <c r="S27" s="20" t="s">
        <v>176</v>
      </c>
    </row>
    <row r="28" spans="1:19" ht="45.75" customHeight="1" x14ac:dyDescent="0.2">
      <c r="A28" s="20">
        <f>Questions!A28</f>
        <v>27</v>
      </c>
      <c r="B28" s="20">
        <f>Questions!B28</f>
        <v>3</v>
      </c>
      <c r="C28" s="20" t="str">
        <f>Questions!C28</f>
        <v>Mon terrain</v>
      </c>
      <c r="D28" s="20" t="str">
        <f>Questions!D28</f>
        <v>C'est en préparant tout en coulisses d'une fête (musique, lumières) que tu t'éclates le plus.</v>
      </c>
      <c r="E28" s="20" t="str">
        <f>INDEX(Axes!$D$2:$D$5,MATCH($B28,Axes!$A$2:$A$5,0))</f>
        <v>V</v>
      </c>
      <c r="F28" s="20" t="str">
        <f>INDEX(Axes!$E$2:$E$5,MATCH($B28,Axes!$A$2:$A$5,0))</f>
        <v>Côté visible (se montrer, être au contact)</v>
      </c>
      <c r="G28" s="20" t="str">
        <f>INDEX(Axes!$F$2:$F$5,MATCH($B28,Axes!$A$2:$A$5,0))</f>
        <v>C</v>
      </c>
      <c r="H28" s="20" t="str">
        <f>INDEX(Axes!$G$2:$G$5,MATCH($B28,Axes!$A$2:$A$5,0))</f>
        <v>Coulisses (rester en retrait, préparer)</v>
      </c>
      <c r="I28" s="20" t="str">
        <f>INDEX(Axes!$H$2:$H$5,MATCH($B28,Axes!$A$2:$A$5,0))</f>
        <v>Contact avec les utilisateurs ou travail en arrière-plan</v>
      </c>
      <c r="J28" s="20" t="str">
        <f>INDEX(Axes!$I$2:$I$5,MATCH($B28,Axes!$A$2:$A$5,0))</f>
        <v>Communiquer et expliquer / Apprendre à apprendre, Résoudre avec méthode</v>
      </c>
      <c r="K28" s="20" t="s">
        <v>221</v>
      </c>
      <c r="L28" s="20" t="str">
        <f>SUBSTITUTE(Questions!G28,"Exemple : ","")</f>
        <v>pendant une fête, tu gères la playlist et les lumières depuis un coin de la pièce pendant que les autres dansent.</v>
      </c>
      <c r="M28" s="20" t="str">
        <f>Questions!E28</f>
        <v>C</v>
      </c>
      <c r="N28" s="20" t="str">
        <f t="shared" si="0"/>
        <v>V</v>
      </c>
      <c r="O28" s="20" t="str">
        <f>IF(Questions!F28="Oui","Oui","")</f>
        <v/>
      </c>
      <c r="P28" s="20" t="s">
        <v>197</v>
      </c>
      <c r="Q28" s="20" t="s">
        <v>198</v>
      </c>
      <c r="R28" s="20" t="s">
        <v>191</v>
      </c>
      <c r="S28" s="20" t="s">
        <v>176</v>
      </c>
    </row>
    <row r="29" spans="1:19" ht="45.75" customHeight="1" x14ac:dyDescent="0.2">
      <c r="A29" s="20">
        <f>Questions!A29</f>
        <v>28</v>
      </c>
      <c r="B29" s="20">
        <f>Questions!B29</f>
        <v>4</v>
      </c>
      <c r="C29" s="20" t="str">
        <f>Questions!C29</f>
        <v>Ma façon de travailler</v>
      </c>
      <c r="D29" s="20" t="str">
        <f>Questions!D29</f>
        <v>C'est en étant capitaine d'une équipe que tu donnes le meilleur de toi.</v>
      </c>
      <c r="E29" s="20" t="str">
        <f>INDEX(Axes!$D$2:$D$5,MATCH($B29,Axes!$A$2:$A$5,0))</f>
        <v>E</v>
      </c>
      <c r="F29" s="20" t="str">
        <f>INDEX(Axes!$E$2:$E$5,MATCH($B29,Axes!$A$2:$A$5,0))</f>
        <v>Expertise en profondeur (je maîtrise à fond)</v>
      </c>
      <c r="G29" s="20" t="str">
        <f>INDEX(Axes!$F$2:$F$5,MATCH($B29,Axes!$A$2:$A$5,0))</f>
        <v>K</v>
      </c>
      <c r="H29" s="20" t="str">
        <f>INDEX(Axes!$G$2:$G$5,MATCH($B29,Axes!$A$2:$A$5,0))</f>
        <v>Collectif et coordination (je fais avancer ensemble)</v>
      </c>
      <c r="I29" s="20" t="str">
        <f>INDEX(Axes!$H$2:$H$5,MATCH($B29,Axes!$A$2:$A$5,0))</f>
        <v>Expertise individuelle ou travail collectif</v>
      </c>
      <c r="J29" s="20" t="str">
        <f>INDEX(Axes!$I$2:$I$5,MATCH($B29,Axes!$A$2:$A$5,0))</f>
        <v>Apprendre à apprendre, Se connaître et s'engager / Coopérer en équipe, S'adapter et rebondir</v>
      </c>
      <c r="K29" s="20" t="s">
        <v>222</v>
      </c>
      <c r="L29" s="20" t="str">
        <f>SUBSTITUTE(Questions!G29,"Exemple : ","")</f>
        <v>dans un match, le capitaine choisit les postes, encourage l'équipe et parle à l'arbitre : c'est le rôle que tu prends.</v>
      </c>
      <c r="M29" s="20" t="str">
        <f>Questions!E29</f>
        <v>K</v>
      </c>
      <c r="N29" s="20" t="str">
        <f t="shared" si="0"/>
        <v>E</v>
      </c>
      <c r="O29" s="20" t="str">
        <f>IF(Questions!F29="Oui","Oui","")</f>
        <v/>
      </c>
      <c r="P29" s="20" t="s">
        <v>200</v>
      </c>
      <c r="Q29" s="20" t="s">
        <v>201</v>
      </c>
      <c r="R29" s="20" t="s">
        <v>202</v>
      </c>
      <c r="S29" s="20" t="s">
        <v>176</v>
      </c>
    </row>
    <row r="30" spans="1:19" ht="45.75" customHeight="1" x14ac:dyDescent="0.2">
      <c r="A30" s="20">
        <f>Questions!A30</f>
        <v>29</v>
      </c>
      <c r="B30" s="20">
        <f>Questions!B30</f>
        <v>1</v>
      </c>
      <c r="C30" s="20" t="str">
        <f>Questions!C30</f>
        <v>Ce qui m'attire</v>
      </c>
      <c r="D30" s="20" t="str">
        <f>Questions!D30</f>
        <v>C'est quand tu comprends comment un jeu vidéo est fabriqué qu'il t'intéresse le plus.</v>
      </c>
      <c r="E30" s="20" t="str">
        <f>INDEX(Axes!$D$2:$D$5,MATCH($B30,Axes!$A$2:$A$5,0))</f>
        <v>H</v>
      </c>
      <c r="F30" s="20" t="str">
        <f>INDEX(Axes!$E$2:$E$5,MATCH($B30,Axes!$A$2:$A$5,0))</f>
        <v>Les personnes (utilisateurs, équipes)</v>
      </c>
      <c r="G30" s="20" t="str">
        <f>INDEX(Axes!$F$2:$F$5,MATCH($B30,Axes!$A$2:$A$5,0))</f>
        <v>T</v>
      </c>
      <c r="H30" s="20" t="str">
        <f>INDEX(Axes!$G$2:$G$5,MATCH($B30,Axes!$A$2:$A$5,0))</f>
        <v>La technique (code, données, machines)</v>
      </c>
      <c r="I30" s="20" t="str">
        <f>INDEX(Axes!$H$2:$H$5,MATCH($B30,Axes!$A$2:$A$5,0))</f>
        <v>Tourné vers les gens ou vers les systèmes</v>
      </c>
      <c r="J30" s="20" t="str">
        <f>INDEX(Axes!$I$2:$I$5,MATCH($B30,Axes!$A$2:$A$5,0))</f>
        <v>Coopérer en équipe, Communiquer et expliquer / Résoudre avec méthode, Analyser et raisonner</v>
      </c>
      <c r="K30" s="20" t="s">
        <v>223</v>
      </c>
      <c r="L30" s="20" t="str">
        <f>SUBSTITUTE(Questions!G30,"Exemple : ","")</f>
        <v>en jouant, tu te demandes comment les développeurs ont programmé les mouvements du personnage ou la physique du jeu.</v>
      </c>
      <c r="M30" s="20" t="str">
        <f>Questions!E30</f>
        <v>T</v>
      </c>
      <c r="N30" s="20" t="str">
        <f t="shared" si="0"/>
        <v>H</v>
      </c>
      <c r="O30" s="20" t="str">
        <f>IF(Questions!F30="Oui","Oui","")</f>
        <v>Oui</v>
      </c>
      <c r="P30" s="20" t="s">
        <v>189</v>
      </c>
      <c r="Q30" s="20" t="s">
        <v>190</v>
      </c>
      <c r="R30" s="20" t="s">
        <v>191</v>
      </c>
      <c r="S30" s="20" t="s">
        <v>176</v>
      </c>
    </row>
    <row r="31" spans="1:19" ht="45.75" customHeight="1" x14ac:dyDescent="0.2">
      <c r="A31" s="20">
        <f>Questions!A31</f>
        <v>30</v>
      </c>
      <c r="B31" s="20">
        <f>Questions!B31</f>
        <v>2</v>
      </c>
      <c r="C31" s="20" t="str">
        <f>Questions!C31</f>
        <v>Ma démarche</v>
      </c>
      <c r="D31" s="20" t="str">
        <f>Questions!D31</f>
        <v>C'est quand tu cherches méthodiquement ce qui cause un problème que tu es le plus efficace.</v>
      </c>
      <c r="E31" s="20" t="str">
        <f>INDEX(Axes!$D$2:$D$5,MATCH($B31,Axes!$A$2:$A$5,0))</f>
        <v>I</v>
      </c>
      <c r="F31" s="20" t="str">
        <f>INDEX(Axes!$E$2:$E$5,MATCH($B31,Axes!$A$2:$A$5,0))</f>
        <v>Improviser et inventer (créer sur le moment, faire autrement)</v>
      </c>
      <c r="G31" s="20" t="str">
        <f>INDEX(Axes!$F$2:$F$5,MATCH($B31,Axes!$A$2:$A$5,0))</f>
        <v>F</v>
      </c>
      <c r="H31" s="20" t="str">
        <f>INDEX(Axes!$G$2:$G$5,MATCH($B31,Axes!$A$2:$A$5,0))</f>
        <v>Préparer et fiabiliser (anticiper, vérifier)</v>
      </c>
      <c r="I31" s="20" t="str">
        <f>INDEX(Axes!$H$2:$H$5,MATCH($B31,Axes!$A$2:$A$5,0))</f>
        <v>Goût de la création ou de l'analyse et de la fiabilité</v>
      </c>
      <c r="J31" s="20" t="str">
        <f>INDEX(Axes!$I$2:$I$5,MATCH($B31,Axes!$A$2:$A$5,0))</f>
        <v>Créer et innover / Analyser et raisonner, Résoudre avec méthode</v>
      </c>
      <c r="K31" s="20" t="s">
        <v>224</v>
      </c>
      <c r="L31" s="20" t="str">
        <f>SUBSTITUTE(Questions!G31,"Exemple : ","")</f>
        <v>une lampe ne s'allume plus. Tu vérifies l'ampoule, la prise, l'interrupteur, un par un, pour trouver où ça bloque.</v>
      </c>
      <c r="M31" s="20" t="str">
        <f>Questions!E31</f>
        <v>F</v>
      </c>
      <c r="N31" s="20" t="str">
        <f t="shared" si="0"/>
        <v>I</v>
      </c>
      <c r="O31" s="20" t="str">
        <f>IF(Questions!F31="Oui","Oui","")</f>
        <v>Oui</v>
      </c>
      <c r="P31" s="20" t="s">
        <v>193</v>
      </c>
      <c r="Q31" s="20" t="s">
        <v>194</v>
      </c>
      <c r="R31" s="20" t="s">
        <v>195</v>
      </c>
      <c r="S31" s="20" t="s">
        <v>176</v>
      </c>
    </row>
    <row r="32" spans="1:19" ht="45.75" customHeight="1" x14ac:dyDescent="0.2">
      <c r="A32" s="20">
        <f>Questions!A32</f>
        <v>31</v>
      </c>
      <c r="B32" s="20">
        <f>Questions!B32</f>
        <v>3</v>
      </c>
      <c r="C32" s="20" t="str">
        <f>Questions!C32</f>
        <v>Mon terrain</v>
      </c>
      <c r="D32" s="20" t="str">
        <f>Questions!D32</f>
        <v>C'est en accueillant les invités et en lançant l'ambiance d'une fête que tu t'éclates le plus.</v>
      </c>
      <c r="E32" s="20" t="str">
        <f>INDEX(Axes!$D$2:$D$5,MATCH($B32,Axes!$A$2:$A$5,0))</f>
        <v>V</v>
      </c>
      <c r="F32" s="20" t="str">
        <f>INDEX(Axes!$E$2:$E$5,MATCH($B32,Axes!$A$2:$A$5,0))</f>
        <v>Côté visible (se montrer, être au contact)</v>
      </c>
      <c r="G32" s="20" t="str">
        <f>INDEX(Axes!$F$2:$F$5,MATCH($B32,Axes!$A$2:$A$5,0))</f>
        <v>C</v>
      </c>
      <c r="H32" s="20" t="str">
        <f>INDEX(Axes!$G$2:$G$5,MATCH($B32,Axes!$A$2:$A$5,0))</f>
        <v>Coulisses (rester en retrait, préparer)</v>
      </c>
      <c r="I32" s="20" t="str">
        <f>INDEX(Axes!$H$2:$H$5,MATCH($B32,Axes!$A$2:$A$5,0))</f>
        <v>Contact avec les utilisateurs ou travail en arrière-plan</v>
      </c>
      <c r="J32" s="20" t="str">
        <f>INDEX(Axes!$I$2:$I$5,MATCH($B32,Axes!$A$2:$A$5,0))</f>
        <v>Communiquer et expliquer / Apprendre à apprendre, Résoudre avec méthode</v>
      </c>
      <c r="K32" s="20" t="s">
        <v>225</v>
      </c>
      <c r="L32" s="20" t="str">
        <f>SUBSTITUTE(Questions!G32,"Exemple : ","")</f>
        <v>à l'entrée de la fête, tu accueilles chaque invité avec le sourire et tu lances le premier jeu ou la première danse.</v>
      </c>
      <c r="M32" s="20" t="str">
        <f>Questions!E32</f>
        <v>V</v>
      </c>
      <c r="N32" s="20" t="str">
        <f t="shared" si="0"/>
        <v>C</v>
      </c>
      <c r="O32" s="20" t="str">
        <f>IF(Questions!F32="Oui","Oui","")</f>
        <v>Oui</v>
      </c>
      <c r="P32" s="20" t="s">
        <v>173</v>
      </c>
      <c r="Q32" s="20" t="s">
        <v>182</v>
      </c>
      <c r="R32" s="20" t="s">
        <v>183</v>
      </c>
      <c r="S32" s="20" t="s">
        <v>176</v>
      </c>
    </row>
    <row r="33" spans="1:19" ht="45.75" customHeight="1" x14ac:dyDescent="0.2">
      <c r="A33" s="20">
        <f>Questions!A33</f>
        <v>32</v>
      </c>
      <c r="B33" s="20">
        <f>Questions!B33</f>
        <v>4</v>
      </c>
      <c r="C33" s="20" t="str">
        <f>Questions!C33</f>
        <v>Ma façon de travailler</v>
      </c>
      <c r="D33" s="20" t="str">
        <f>Questions!D33</f>
        <v>C'est en devenant le ou la spécialiste de quelque chose que tu te sens le plus accompli(e).</v>
      </c>
      <c r="E33" s="20" t="str">
        <f>INDEX(Axes!$D$2:$D$5,MATCH($B33,Axes!$A$2:$A$5,0))</f>
        <v>E</v>
      </c>
      <c r="F33" s="20" t="str">
        <f>INDEX(Axes!$E$2:$E$5,MATCH($B33,Axes!$A$2:$A$5,0))</f>
        <v>Expertise en profondeur (je maîtrise à fond)</v>
      </c>
      <c r="G33" s="20" t="str">
        <f>INDEX(Axes!$F$2:$F$5,MATCH($B33,Axes!$A$2:$A$5,0))</f>
        <v>K</v>
      </c>
      <c r="H33" s="20" t="str">
        <f>INDEX(Axes!$G$2:$G$5,MATCH($B33,Axes!$A$2:$A$5,0))</f>
        <v>Collectif et coordination (je fais avancer ensemble)</v>
      </c>
      <c r="I33" s="20" t="str">
        <f>INDEX(Axes!$H$2:$H$5,MATCH($B33,Axes!$A$2:$A$5,0))</f>
        <v>Expertise individuelle ou travail collectif</v>
      </c>
      <c r="J33" s="20" t="str">
        <f>INDEX(Axes!$I$2:$I$5,MATCH($B33,Axes!$A$2:$A$5,0))</f>
        <v>Apprendre à apprendre, Se connaître et s'engager / Coopérer en équipe, S'adapter et rebondir</v>
      </c>
      <c r="K33" s="20" t="s">
        <v>226</v>
      </c>
      <c r="L33" s="20" t="str">
        <f>SUBSTITUTE(Questions!G33,"Exemple : ","")</f>
        <v>tu t'imagines dans dix ans : on vient te voir parce que tu es la personne qui connaît tout sur ton sujet.</v>
      </c>
      <c r="M33" s="20" t="str">
        <f>Questions!E33</f>
        <v>E</v>
      </c>
      <c r="N33" s="20" t="str">
        <f t="shared" si="0"/>
        <v>K</v>
      </c>
      <c r="O33" s="20" t="str">
        <f>IF(Questions!F33="Oui","Oui","")</f>
        <v>Oui</v>
      </c>
      <c r="P33" s="20" t="s">
        <v>185</v>
      </c>
      <c r="Q33" s="20" t="s">
        <v>186</v>
      </c>
      <c r="R33" s="20" t="s">
        <v>187</v>
      </c>
      <c r="S33" s="20" t="s">
        <v>176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0" customWidth="1"/>
    <col min="2" max="2" width="30" customWidth="1"/>
    <col min="3" max="3" width="11" customWidth="1"/>
    <col min="4" max="4" width="44" customWidth="1"/>
    <col min="5" max="5" width="40" customWidth="1"/>
    <col min="6" max="6" width="36" customWidth="1"/>
    <col min="7" max="7" width="30" customWidth="1"/>
    <col min="8" max="8" width="46" customWidth="1"/>
    <col min="9" max="9" width="30" customWidth="1"/>
    <col min="10" max="10" width="24" customWidth="1"/>
    <col min="11" max="11" width="12" customWidth="1"/>
    <col min="12" max="13" width="42" customWidth="1"/>
    <col min="14" max="15" width="34" customWidth="1"/>
    <col min="16" max="16" width="44" customWidth="1"/>
    <col min="17" max="17" width="32" customWidth="1"/>
    <col min="18" max="18" width="26" customWidth="1"/>
    <col min="19" max="19" width="18" customWidth="1"/>
    <col min="20" max="20" width="32" customWidth="1"/>
  </cols>
  <sheetData>
    <row r="1" spans="1:20" ht="39" customHeight="1" x14ac:dyDescent="0.2">
      <c r="A1" s="8" t="s">
        <v>227</v>
      </c>
      <c r="B1" s="8" t="s">
        <v>228</v>
      </c>
      <c r="C1" s="8" t="s">
        <v>229</v>
      </c>
      <c r="D1" s="8" t="s">
        <v>230</v>
      </c>
      <c r="E1" s="8" t="s">
        <v>231</v>
      </c>
      <c r="F1" s="8" t="s">
        <v>48</v>
      </c>
      <c r="G1" s="8" t="s">
        <v>49</v>
      </c>
      <c r="H1" s="8" t="s">
        <v>232</v>
      </c>
      <c r="I1" s="8" t="s">
        <v>51</v>
      </c>
      <c r="J1" s="8" t="s">
        <v>233</v>
      </c>
      <c r="K1" s="8" t="s">
        <v>234</v>
      </c>
      <c r="L1" s="8" t="s">
        <v>235</v>
      </c>
      <c r="M1" s="8" t="s">
        <v>236</v>
      </c>
      <c r="N1" s="19" t="s">
        <v>237</v>
      </c>
      <c r="O1" s="19" t="s">
        <v>238</v>
      </c>
      <c r="P1" s="19" t="s">
        <v>239</v>
      </c>
      <c r="Q1" s="19" t="s">
        <v>240</v>
      </c>
      <c r="R1" s="19" t="s">
        <v>241</v>
      </c>
      <c r="S1" s="19" t="s">
        <v>242</v>
      </c>
      <c r="T1" s="19" t="s">
        <v>243</v>
      </c>
    </row>
    <row r="2" spans="1:20" ht="79.5" customHeight="1" x14ac:dyDescent="0.2">
      <c r="A2" s="21" t="s">
        <v>244</v>
      </c>
      <c r="B2" s="6" t="s">
        <v>245</v>
      </c>
      <c r="C2" s="17" t="s">
        <v>246</v>
      </c>
      <c r="D2" s="18" t="s">
        <v>247</v>
      </c>
      <c r="E2" s="18" t="s">
        <v>248</v>
      </c>
      <c r="F2" s="18" t="s">
        <v>249</v>
      </c>
      <c r="G2" s="18" t="s">
        <v>250</v>
      </c>
      <c r="H2" s="18" t="s">
        <v>251</v>
      </c>
      <c r="I2" s="18" t="s">
        <v>252</v>
      </c>
      <c r="J2" s="18" t="s">
        <v>253</v>
      </c>
      <c r="K2" s="18" t="s">
        <v>254</v>
      </c>
      <c r="L2" s="22" t="s">
        <v>255</v>
      </c>
      <c r="M2" s="23" t="s">
        <v>256</v>
      </c>
      <c r="N2" s="20" t="s">
        <v>257</v>
      </c>
      <c r="O2" s="20" t="s">
        <v>258</v>
      </c>
      <c r="P2" s="20" t="s">
        <v>259</v>
      </c>
      <c r="Q2" s="20" t="s">
        <v>260</v>
      </c>
      <c r="R2" s="20" t="s">
        <v>261</v>
      </c>
      <c r="S2" s="20" t="s">
        <v>262</v>
      </c>
      <c r="T2" s="20" t="s">
        <v>263</v>
      </c>
    </row>
    <row r="3" spans="1:20" ht="79.5" customHeight="1" x14ac:dyDescent="0.2">
      <c r="A3" s="12" t="s">
        <v>264</v>
      </c>
      <c r="B3" s="16" t="s">
        <v>265</v>
      </c>
      <c r="C3" s="9" t="s">
        <v>266</v>
      </c>
      <c r="D3" s="7" t="s">
        <v>267</v>
      </c>
      <c r="E3" s="7" t="s">
        <v>268</v>
      </c>
      <c r="F3" s="7" t="s">
        <v>269</v>
      </c>
      <c r="G3" s="7" t="s">
        <v>270</v>
      </c>
      <c r="H3" s="7" t="s">
        <v>271</v>
      </c>
      <c r="I3" s="7" t="s">
        <v>245</v>
      </c>
      <c r="J3" s="7" t="s">
        <v>253</v>
      </c>
      <c r="K3" s="7" t="s">
        <v>254</v>
      </c>
      <c r="L3" s="22" t="s">
        <v>256</v>
      </c>
      <c r="M3" s="23" t="s">
        <v>255</v>
      </c>
      <c r="N3" s="20" t="s">
        <v>272</v>
      </c>
      <c r="O3" s="20" t="s">
        <v>273</v>
      </c>
      <c r="P3" s="20" t="s">
        <v>274</v>
      </c>
      <c r="Q3" s="20" t="s">
        <v>275</v>
      </c>
      <c r="R3" s="20" t="s">
        <v>276</v>
      </c>
      <c r="S3" s="20" t="s">
        <v>277</v>
      </c>
      <c r="T3" s="20" t="s">
        <v>278</v>
      </c>
    </row>
    <row r="4" spans="1:20" ht="79.5" customHeight="1" x14ac:dyDescent="0.2">
      <c r="A4" s="21" t="s">
        <v>279</v>
      </c>
      <c r="B4" s="6" t="s">
        <v>280</v>
      </c>
      <c r="C4" s="17" t="s">
        <v>281</v>
      </c>
      <c r="D4" s="18" t="s">
        <v>282</v>
      </c>
      <c r="E4" s="18" t="s">
        <v>283</v>
      </c>
      <c r="F4" s="18" t="s">
        <v>284</v>
      </c>
      <c r="G4" s="18" t="s">
        <v>187</v>
      </c>
      <c r="H4" s="18" t="s">
        <v>285</v>
      </c>
      <c r="I4" s="18" t="s">
        <v>286</v>
      </c>
      <c r="J4" s="18" t="s">
        <v>253</v>
      </c>
      <c r="K4" s="18" t="s">
        <v>254</v>
      </c>
      <c r="L4" s="22" t="s">
        <v>287</v>
      </c>
      <c r="M4" s="23" t="s">
        <v>255</v>
      </c>
      <c r="N4" s="20" t="s">
        <v>288</v>
      </c>
      <c r="O4" s="20" t="s">
        <v>289</v>
      </c>
      <c r="P4" s="20" t="s">
        <v>290</v>
      </c>
      <c r="Q4" s="20" t="s">
        <v>291</v>
      </c>
      <c r="R4" s="20" t="s">
        <v>292</v>
      </c>
      <c r="S4" s="20" t="s">
        <v>277</v>
      </c>
      <c r="T4" s="20" t="s">
        <v>293</v>
      </c>
    </row>
    <row r="5" spans="1:20" ht="79.5" customHeight="1" x14ac:dyDescent="0.2">
      <c r="A5" s="12" t="s">
        <v>294</v>
      </c>
      <c r="B5" s="16" t="s">
        <v>295</v>
      </c>
      <c r="C5" s="9" t="s">
        <v>296</v>
      </c>
      <c r="D5" s="7" t="s">
        <v>297</v>
      </c>
      <c r="E5" s="7" t="s">
        <v>298</v>
      </c>
      <c r="F5" s="7" t="s">
        <v>299</v>
      </c>
      <c r="G5" s="7" t="s">
        <v>300</v>
      </c>
      <c r="H5" s="7" t="s">
        <v>301</v>
      </c>
      <c r="I5" s="7" t="s">
        <v>302</v>
      </c>
      <c r="J5" s="7" t="s">
        <v>303</v>
      </c>
      <c r="K5" s="7" t="s">
        <v>254</v>
      </c>
      <c r="L5" s="22" t="s">
        <v>255</v>
      </c>
      <c r="M5" s="23" t="s">
        <v>304</v>
      </c>
      <c r="N5" s="20" t="s">
        <v>305</v>
      </c>
      <c r="O5" s="20" t="s">
        <v>306</v>
      </c>
      <c r="P5" s="20" t="s">
        <v>307</v>
      </c>
      <c r="Q5" s="20" t="s">
        <v>308</v>
      </c>
      <c r="R5" s="20" t="s">
        <v>276</v>
      </c>
      <c r="S5" s="20" t="s">
        <v>262</v>
      </c>
      <c r="T5" s="20" t="s">
        <v>309</v>
      </c>
    </row>
    <row r="6" spans="1:20" ht="79.5" customHeight="1" x14ac:dyDescent="0.2">
      <c r="A6" s="21" t="s">
        <v>310</v>
      </c>
      <c r="B6" s="6" t="s">
        <v>286</v>
      </c>
      <c r="C6" s="17" t="s">
        <v>296</v>
      </c>
      <c r="D6" s="18" t="s">
        <v>311</v>
      </c>
      <c r="E6" s="18" t="s">
        <v>312</v>
      </c>
      <c r="F6" s="18" t="s">
        <v>313</v>
      </c>
      <c r="G6" s="18" t="s">
        <v>314</v>
      </c>
      <c r="H6" s="18" t="s">
        <v>285</v>
      </c>
      <c r="I6" s="18" t="s">
        <v>280</v>
      </c>
      <c r="J6" s="18" t="s">
        <v>253</v>
      </c>
      <c r="K6" s="18" t="s">
        <v>254</v>
      </c>
      <c r="L6" s="22" t="s">
        <v>287</v>
      </c>
      <c r="M6" s="23" t="s">
        <v>315</v>
      </c>
      <c r="N6" s="20" t="s">
        <v>316</v>
      </c>
      <c r="O6" s="20" t="s">
        <v>317</v>
      </c>
      <c r="P6" s="20" t="s">
        <v>318</v>
      </c>
      <c r="Q6" s="20" t="s">
        <v>319</v>
      </c>
      <c r="R6" s="20" t="s">
        <v>320</v>
      </c>
      <c r="S6" s="20" t="s">
        <v>277</v>
      </c>
      <c r="T6" s="20" t="s">
        <v>321</v>
      </c>
    </row>
    <row r="7" spans="1:20" ht="79.5" customHeight="1" x14ac:dyDescent="0.2">
      <c r="A7" s="12" t="s">
        <v>322</v>
      </c>
      <c r="B7" s="16" t="s">
        <v>323</v>
      </c>
      <c r="C7" s="9" t="s">
        <v>324</v>
      </c>
      <c r="D7" s="7" t="s">
        <v>325</v>
      </c>
      <c r="E7" s="7" t="s">
        <v>326</v>
      </c>
      <c r="F7" s="7" t="s">
        <v>327</v>
      </c>
      <c r="G7" s="7" t="s">
        <v>195</v>
      </c>
      <c r="H7" s="7" t="s">
        <v>328</v>
      </c>
      <c r="I7" s="7" t="s">
        <v>245</v>
      </c>
      <c r="J7" s="7" t="s">
        <v>303</v>
      </c>
      <c r="K7" s="7" t="s">
        <v>254</v>
      </c>
      <c r="L7" s="22" t="s">
        <v>255</v>
      </c>
      <c r="M7" s="23" t="s">
        <v>329</v>
      </c>
      <c r="N7" s="20" t="s">
        <v>330</v>
      </c>
      <c r="O7" s="20" t="s">
        <v>331</v>
      </c>
      <c r="P7" s="20" t="s">
        <v>332</v>
      </c>
      <c r="Q7" s="20" t="s">
        <v>333</v>
      </c>
      <c r="R7" s="20" t="s">
        <v>334</v>
      </c>
      <c r="S7" s="20" t="s">
        <v>335</v>
      </c>
      <c r="T7" s="20" t="s">
        <v>336</v>
      </c>
    </row>
    <row r="8" spans="1:20" ht="79.5" customHeight="1" x14ac:dyDescent="0.2">
      <c r="A8" s="21" t="s">
        <v>337</v>
      </c>
      <c r="B8" s="6" t="s">
        <v>338</v>
      </c>
      <c r="C8" s="17" t="s">
        <v>246</v>
      </c>
      <c r="D8" s="18" t="s">
        <v>339</v>
      </c>
      <c r="E8" s="18" t="s">
        <v>340</v>
      </c>
      <c r="F8" s="18" t="s">
        <v>341</v>
      </c>
      <c r="G8" s="18" t="s">
        <v>342</v>
      </c>
      <c r="H8" s="18" t="s">
        <v>343</v>
      </c>
      <c r="I8" s="18" t="s">
        <v>344</v>
      </c>
      <c r="J8" s="18" t="s">
        <v>253</v>
      </c>
      <c r="K8" s="18" t="s">
        <v>254</v>
      </c>
      <c r="L8" s="22" t="s">
        <v>329</v>
      </c>
      <c r="M8" s="23" t="s">
        <v>304</v>
      </c>
      <c r="N8" s="20" t="s">
        <v>345</v>
      </c>
      <c r="O8" s="20" t="s">
        <v>346</v>
      </c>
      <c r="P8" s="20" t="s">
        <v>347</v>
      </c>
      <c r="Q8" s="20" t="s">
        <v>348</v>
      </c>
      <c r="R8" s="20" t="s">
        <v>349</v>
      </c>
      <c r="S8" s="20" t="s">
        <v>262</v>
      </c>
      <c r="T8" s="20" t="s">
        <v>350</v>
      </c>
    </row>
    <row r="9" spans="1:20" ht="79.5" customHeight="1" x14ac:dyDescent="0.2">
      <c r="A9" s="12" t="s">
        <v>351</v>
      </c>
      <c r="B9" s="16" t="s">
        <v>302</v>
      </c>
      <c r="C9" s="9" t="s">
        <v>352</v>
      </c>
      <c r="D9" s="7" t="s">
        <v>353</v>
      </c>
      <c r="E9" s="7" t="s">
        <v>354</v>
      </c>
      <c r="F9" s="7" t="s">
        <v>355</v>
      </c>
      <c r="G9" s="7" t="s">
        <v>191</v>
      </c>
      <c r="H9" s="7" t="s">
        <v>356</v>
      </c>
      <c r="I9" s="7" t="s">
        <v>338</v>
      </c>
      <c r="J9" s="7" t="s">
        <v>253</v>
      </c>
      <c r="K9" s="7" t="s">
        <v>254</v>
      </c>
      <c r="L9" s="22" t="s">
        <v>304</v>
      </c>
      <c r="M9" s="23" t="s">
        <v>329</v>
      </c>
      <c r="N9" s="20" t="s">
        <v>357</v>
      </c>
      <c r="O9" s="20" t="s">
        <v>358</v>
      </c>
      <c r="P9" s="20" t="s">
        <v>359</v>
      </c>
      <c r="Q9" s="20" t="s">
        <v>360</v>
      </c>
      <c r="R9" s="20" t="s">
        <v>261</v>
      </c>
      <c r="S9" s="20" t="s">
        <v>335</v>
      </c>
      <c r="T9" s="20" t="s">
        <v>361</v>
      </c>
    </row>
    <row r="10" spans="1:20" ht="79.5" customHeight="1" x14ac:dyDescent="0.2">
      <c r="A10" s="21" t="s">
        <v>362</v>
      </c>
      <c r="B10" s="6" t="s">
        <v>252</v>
      </c>
      <c r="C10" s="17" t="s">
        <v>363</v>
      </c>
      <c r="D10" s="18" t="s">
        <v>364</v>
      </c>
      <c r="E10" s="18" t="s">
        <v>365</v>
      </c>
      <c r="F10" s="18" t="s">
        <v>366</v>
      </c>
      <c r="G10" s="18" t="s">
        <v>367</v>
      </c>
      <c r="H10" s="18" t="s">
        <v>368</v>
      </c>
      <c r="I10" s="18" t="s">
        <v>369</v>
      </c>
      <c r="J10" s="18" t="s">
        <v>253</v>
      </c>
      <c r="K10" s="18" t="s">
        <v>254</v>
      </c>
      <c r="L10" s="22" t="s">
        <v>255</v>
      </c>
      <c r="M10" s="23" t="s">
        <v>370</v>
      </c>
      <c r="N10" s="20" t="s">
        <v>371</v>
      </c>
      <c r="O10" s="20" t="s">
        <v>372</v>
      </c>
      <c r="P10" s="20" t="s">
        <v>373</v>
      </c>
      <c r="Q10" s="20" t="s">
        <v>374</v>
      </c>
      <c r="R10" s="20" t="s">
        <v>375</v>
      </c>
      <c r="S10" s="20" t="s">
        <v>262</v>
      </c>
      <c r="T10" s="20" t="s">
        <v>376</v>
      </c>
    </row>
    <row r="11" spans="1:20" ht="79.5" customHeight="1" x14ac:dyDescent="0.2">
      <c r="A11" s="12" t="s">
        <v>377</v>
      </c>
      <c r="B11" s="16" t="s">
        <v>369</v>
      </c>
      <c r="C11" s="9" t="s">
        <v>378</v>
      </c>
      <c r="D11" s="7" t="s">
        <v>379</v>
      </c>
      <c r="E11" s="7" t="s">
        <v>380</v>
      </c>
      <c r="F11" s="7" t="s">
        <v>381</v>
      </c>
      <c r="G11" s="7" t="s">
        <v>175</v>
      </c>
      <c r="H11" s="7" t="s">
        <v>382</v>
      </c>
      <c r="I11" s="7" t="s">
        <v>383</v>
      </c>
      <c r="J11" s="7" t="s">
        <v>253</v>
      </c>
      <c r="K11" s="7" t="s">
        <v>254</v>
      </c>
      <c r="L11" s="22" t="s">
        <v>370</v>
      </c>
      <c r="M11" s="23" t="s">
        <v>315</v>
      </c>
      <c r="N11" s="20" t="s">
        <v>384</v>
      </c>
      <c r="O11" s="20" t="s">
        <v>385</v>
      </c>
      <c r="P11" s="20" t="s">
        <v>386</v>
      </c>
      <c r="Q11" s="20" t="s">
        <v>387</v>
      </c>
      <c r="R11" s="20" t="s">
        <v>388</v>
      </c>
      <c r="S11" s="20" t="s">
        <v>262</v>
      </c>
      <c r="T11" s="20" t="s">
        <v>389</v>
      </c>
    </row>
    <row r="12" spans="1:20" ht="79.5" customHeight="1" x14ac:dyDescent="0.2">
      <c r="A12" s="21" t="s">
        <v>390</v>
      </c>
      <c r="B12" s="6" t="s">
        <v>391</v>
      </c>
      <c r="C12" s="17" t="s">
        <v>392</v>
      </c>
      <c r="D12" s="18" t="s">
        <v>393</v>
      </c>
      <c r="E12" s="18" t="s">
        <v>394</v>
      </c>
      <c r="F12" s="18" t="s">
        <v>395</v>
      </c>
      <c r="G12" s="18" t="s">
        <v>396</v>
      </c>
      <c r="H12" s="18" t="s">
        <v>397</v>
      </c>
      <c r="I12" s="18" t="s">
        <v>302</v>
      </c>
      <c r="J12" s="18" t="s">
        <v>253</v>
      </c>
      <c r="K12" s="18" t="s">
        <v>254</v>
      </c>
      <c r="L12" s="22" t="s">
        <v>304</v>
      </c>
      <c r="M12" s="23" t="s">
        <v>315</v>
      </c>
      <c r="N12" s="20" t="s">
        <v>398</v>
      </c>
      <c r="O12" s="20" t="s">
        <v>399</v>
      </c>
      <c r="P12" s="20" t="s">
        <v>400</v>
      </c>
      <c r="Q12" s="20" t="s">
        <v>401</v>
      </c>
      <c r="R12" s="20" t="s">
        <v>402</v>
      </c>
      <c r="S12" s="20" t="s">
        <v>277</v>
      </c>
      <c r="T12" s="20" t="s">
        <v>403</v>
      </c>
    </row>
    <row r="13" spans="1:20" ht="79.5" customHeight="1" x14ac:dyDescent="0.2">
      <c r="A13" s="12" t="s">
        <v>404</v>
      </c>
      <c r="B13" s="16" t="s">
        <v>405</v>
      </c>
      <c r="C13" s="9" t="s">
        <v>392</v>
      </c>
      <c r="D13" s="7" t="s">
        <v>406</v>
      </c>
      <c r="E13" s="7" t="s">
        <v>407</v>
      </c>
      <c r="F13" s="7" t="s">
        <v>408</v>
      </c>
      <c r="G13" s="7" t="s">
        <v>409</v>
      </c>
      <c r="H13" s="7" t="s">
        <v>410</v>
      </c>
      <c r="I13" s="7" t="s">
        <v>280</v>
      </c>
      <c r="J13" s="7" t="s">
        <v>253</v>
      </c>
      <c r="K13" s="7" t="s">
        <v>254</v>
      </c>
      <c r="L13" s="22" t="s">
        <v>287</v>
      </c>
      <c r="M13" s="23" t="s">
        <v>256</v>
      </c>
      <c r="N13" s="20" t="s">
        <v>411</v>
      </c>
      <c r="O13" s="20" t="s">
        <v>412</v>
      </c>
      <c r="P13" s="20" t="s">
        <v>413</v>
      </c>
      <c r="Q13" s="20" t="s">
        <v>414</v>
      </c>
      <c r="R13" s="20" t="s">
        <v>402</v>
      </c>
      <c r="S13" s="20" t="s">
        <v>277</v>
      </c>
      <c r="T13" s="20" t="s">
        <v>415</v>
      </c>
    </row>
    <row r="14" spans="1:20" ht="79.5" customHeight="1" x14ac:dyDescent="0.2">
      <c r="A14" s="21" t="s">
        <v>416</v>
      </c>
      <c r="B14" s="6" t="s">
        <v>417</v>
      </c>
      <c r="C14" s="17" t="s">
        <v>418</v>
      </c>
      <c r="D14" s="18" t="s">
        <v>419</v>
      </c>
      <c r="E14" s="18" t="s">
        <v>420</v>
      </c>
      <c r="F14" s="18" t="s">
        <v>421</v>
      </c>
      <c r="G14" s="18" t="s">
        <v>422</v>
      </c>
      <c r="H14" s="18" t="s">
        <v>423</v>
      </c>
      <c r="I14" s="18" t="s">
        <v>302</v>
      </c>
      <c r="J14" s="18" t="s">
        <v>253</v>
      </c>
      <c r="K14" s="18" t="s">
        <v>254</v>
      </c>
      <c r="L14" s="22" t="s">
        <v>304</v>
      </c>
      <c r="M14" s="23" t="s">
        <v>370</v>
      </c>
      <c r="N14" s="20" t="s">
        <v>424</v>
      </c>
      <c r="O14" s="20" t="s">
        <v>425</v>
      </c>
      <c r="P14" s="20" t="s">
        <v>426</v>
      </c>
      <c r="Q14" s="20" t="s">
        <v>427</v>
      </c>
      <c r="R14" s="20" t="s">
        <v>428</v>
      </c>
      <c r="S14" s="20" t="s">
        <v>429</v>
      </c>
      <c r="T14" s="20" t="s">
        <v>430</v>
      </c>
    </row>
    <row r="15" spans="1:20" ht="79.5" customHeight="1" x14ac:dyDescent="0.2">
      <c r="A15" s="12" t="s">
        <v>431</v>
      </c>
      <c r="B15" s="16" t="s">
        <v>432</v>
      </c>
      <c r="C15" s="9" t="s">
        <v>433</v>
      </c>
      <c r="D15" s="7" t="s">
        <v>434</v>
      </c>
      <c r="E15" s="7" t="s">
        <v>435</v>
      </c>
      <c r="F15" s="7" t="s">
        <v>436</v>
      </c>
      <c r="G15" s="7" t="s">
        <v>437</v>
      </c>
      <c r="H15" s="7" t="s">
        <v>438</v>
      </c>
      <c r="I15" s="7" t="s">
        <v>383</v>
      </c>
      <c r="J15" s="7" t="s">
        <v>253</v>
      </c>
      <c r="K15" s="7" t="s">
        <v>254</v>
      </c>
      <c r="L15" s="22" t="s">
        <v>370</v>
      </c>
      <c r="M15" s="23" t="s">
        <v>315</v>
      </c>
      <c r="N15" s="20" t="s">
        <v>439</v>
      </c>
      <c r="O15" s="20" t="s">
        <v>440</v>
      </c>
      <c r="P15" s="20" t="s">
        <v>441</v>
      </c>
      <c r="Q15" s="20" t="s">
        <v>442</v>
      </c>
      <c r="R15" s="20" t="s">
        <v>443</v>
      </c>
      <c r="S15" s="20" t="s">
        <v>335</v>
      </c>
      <c r="T15" s="20" t="s">
        <v>444</v>
      </c>
    </row>
    <row r="16" spans="1:20" ht="79.5" customHeight="1" x14ac:dyDescent="0.2">
      <c r="A16" s="21" t="s">
        <v>445</v>
      </c>
      <c r="B16" s="6" t="s">
        <v>344</v>
      </c>
      <c r="C16" s="17" t="s">
        <v>446</v>
      </c>
      <c r="D16" s="18" t="s">
        <v>447</v>
      </c>
      <c r="E16" s="18" t="s">
        <v>448</v>
      </c>
      <c r="F16" s="18" t="s">
        <v>395</v>
      </c>
      <c r="G16" s="18" t="s">
        <v>449</v>
      </c>
      <c r="H16" s="18" t="s">
        <v>450</v>
      </c>
      <c r="I16" s="18" t="s">
        <v>338</v>
      </c>
      <c r="J16" s="18" t="s">
        <v>253</v>
      </c>
      <c r="K16" s="18" t="s">
        <v>254</v>
      </c>
      <c r="L16" s="22" t="s">
        <v>329</v>
      </c>
      <c r="M16" s="23" t="s">
        <v>315</v>
      </c>
      <c r="N16" s="20" t="s">
        <v>451</v>
      </c>
      <c r="O16" s="20" t="s">
        <v>452</v>
      </c>
      <c r="P16" s="20" t="s">
        <v>453</v>
      </c>
      <c r="Q16" s="20" t="s">
        <v>454</v>
      </c>
      <c r="R16" s="20" t="s">
        <v>349</v>
      </c>
      <c r="S16" s="20" t="s">
        <v>277</v>
      </c>
      <c r="T16" s="20" t="s">
        <v>455</v>
      </c>
    </row>
    <row r="17" spans="1:20" ht="79.5" customHeight="1" x14ac:dyDescent="0.2">
      <c r="A17" s="12" t="s">
        <v>456</v>
      </c>
      <c r="B17" s="16" t="s">
        <v>383</v>
      </c>
      <c r="C17" s="9" t="s">
        <v>457</v>
      </c>
      <c r="D17" s="7" t="s">
        <v>458</v>
      </c>
      <c r="E17" s="7" t="s">
        <v>459</v>
      </c>
      <c r="F17" s="7" t="s">
        <v>460</v>
      </c>
      <c r="G17" s="7" t="s">
        <v>461</v>
      </c>
      <c r="H17" s="7" t="s">
        <v>462</v>
      </c>
      <c r="I17" s="7" t="s">
        <v>432</v>
      </c>
      <c r="J17" s="7" t="s">
        <v>253</v>
      </c>
      <c r="K17" s="7" t="s">
        <v>254</v>
      </c>
      <c r="L17" s="22" t="s">
        <v>315</v>
      </c>
      <c r="M17" s="23" t="s">
        <v>255</v>
      </c>
      <c r="N17" s="20" t="s">
        <v>463</v>
      </c>
      <c r="O17" s="20" t="s">
        <v>464</v>
      </c>
      <c r="P17" s="20" t="s">
        <v>465</v>
      </c>
      <c r="Q17" s="20" t="s">
        <v>466</v>
      </c>
      <c r="R17" s="20" t="s">
        <v>349</v>
      </c>
      <c r="S17" s="20" t="s">
        <v>277</v>
      </c>
      <c r="T17" s="20" t="s">
        <v>467</v>
      </c>
    </row>
    <row r="19" spans="1:20" ht="15" customHeight="1" x14ac:dyDescent="0.2">
      <c r="A19" s="24" t="s">
        <v>468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2"/>
  <sheetViews>
    <sheetView zoomScaleNormal="100" workbookViewId="0"/>
  </sheetViews>
  <sheetFormatPr baseColWidth="10" defaultColWidth="8.6640625" defaultRowHeight="15" x14ac:dyDescent="0.2"/>
  <cols>
    <col min="1" max="1" width="5" customWidth="1"/>
    <col min="2" max="2" width="36" customWidth="1"/>
    <col min="3" max="3" width="50" customWidth="1"/>
    <col min="4" max="5" width="60" customWidth="1"/>
    <col min="6" max="6" width="16" customWidth="1"/>
    <col min="7" max="7" width="70" customWidth="1"/>
    <col min="8" max="9" width="34" customWidth="1"/>
    <col min="10" max="10" width="30" customWidth="1"/>
    <col min="11" max="11" width="34" customWidth="1"/>
    <col min="12" max="12" width="44" customWidth="1"/>
    <col min="13" max="14" width="32" customWidth="1"/>
  </cols>
  <sheetData>
    <row r="1" spans="1:14" ht="23.25" customHeight="1" x14ac:dyDescent="0.2">
      <c r="A1" s="19" t="s">
        <v>29</v>
      </c>
      <c r="B1" s="19" t="s">
        <v>55</v>
      </c>
      <c r="C1" s="19" t="s">
        <v>469</v>
      </c>
      <c r="D1" s="19" t="s">
        <v>470</v>
      </c>
      <c r="E1" s="19" t="s">
        <v>471</v>
      </c>
      <c r="F1" s="19" t="s">
        <v>472</v>
      </c>
      <c r="G1" s="19" t="s">
        <v>473</v>
      </c>
      <c r="H1" s="19" t="s">
        <v>237</v>
      </c>
      <c r="I1" s="19" t="s">
        <v>238</v>
      </c>
      <c r="J1" s="19" t="s">
        <v>474</v>
      </c>
      <c r="K1" s="19" t="s">
        <v>475</v>
      </c>
      <c r="L1" s="19" t="s">
        <v>239</v>
      </c>
      <c r="M1" s="19" t="s">
        <v>240</v>
      </c>
      <c r="N1" s="19" t="s">
        <v>243</v>
      </c>
    </row>
    <row r="2" spans="1:14" ht="23.25" customHeight="1" x14ac:dyDescent="0.2">
      <c r="A2" s="20">
        <v>1</v>
      </c>
      <c r="B2" s="20" t="s">
        <v>476</v>
      </c>
      <c r="C2" s="20" t="s">
        <v>477</v>
      </c>
      <c r="D2" s="20" t="s">
        <v>478</v>
      </c>
      <c r="E2" s="20" t="s">
        <v>479</v>
      </c>
      <c r="F2" s="20" t="s">
        <v>480</v>
      </c>
      <c r="G2" s="20" t="s">
        <v>481</v>
      </c>
      <c r="H2" s="20" t="s">
        <v>482</v>
      </c>
      <c r="I2" s="20" t="s">
        <v>483</v>
      </c>
      <c r="J2" s="20" t="s">
        <v>484</v>
      </c>
      <c r="K2" s="20" t="s">
        <v>485</v>
      </c>
      <c r="L2" s="20" t="s">
        <v>486</v>
      </c>
      <c r="M2" s="20" t="s">
        <v>487</v>
      </c>
      <c r="N2" s="20" t="s">
        <v>488</v>
      </c>
    </row>
    <row r="3" spans="1:14" ht="15" customHeight="1" x14ac:dyDescent="0.2">
      <c r="A3" s="20">
        <v>2</v>
      </c>
      <c r="B3" s="20" t="s">
        <v>489</v>
      </c>
      <c r="C3" s="20" t="s">
        <v>490</v>
      </c>
      <c r="D3" s="20" t="s">
        <v>491</v>
      </c>
      <c r="E3" s="20" t="s">
        <v>492</v>
      </c>
      <c r="F3" s="20" t="s">
        <v>493</v>
      </c>
      <c r="G3" s="20" t="s">
        <v>494</v>
      </c>
      <c r="H3" s="20" t="s">
        <v>495</v>
      </c>
      <c r="I3" s="20" t="s">
        <v>496</v>
      </c>
      <c r="J3" s="20" t="s">
        <v>497</v>
      </c>
      <c r="K3" s="20" t="s">
        <v>498</v>
      </c>
      <c r="L3" s="20" t="s">
        <v>499</v>
      </c>
      <c r="M3" s="20" t="s">
        <v>500</v>
      </c>
      <c r="N3" s="20" t="s">
        <v>501</v>
      </c>
    </row>
    <row r="4" spans="1:14" ht="34.5" customHeight="1" x14ac:dyDescent="0.2">
      <c r="A4" s="20">
        <v>3</v>
      </c>
      <c r="B4" s="20" t="s">
        <v>502</v>
      </c>
      <c r="C4" s="20" t="s">
        <v>503</v>
      </c>
      <c r="D4" s="20" t="s">
        <v>504</v>
      </c>
      <c r="E4" s="20" t="s">
        <v>505</v>
      </c>
      <c r="F4" s="20" t="s">
        <v>506</v>
      </c>
      <c r="G4" s="20" t="s">
        <v>507</v>
      </c>
      <c r="H4" s="20" t="s">
        <v>508</v>
      </c>
      <c r="I4" s="20" t="s">
        <v>509</v>
      </c>
      <c r="J4" s="20" t="s">
        <v>510</v>
      </c>
      <c r="K4" s="20" t="s">
        <v>511</v>
      </c>
      <c r="L4" s="20" t="s">
        <v>512</v>
      </c>
      <c r="M4" s="20" t="s">
        <v>260</v>
      </c>
      <c r="N4" s="20" t="s">
        <v>513</v>
      </c>
    </row>
    <row r="5" spans="1:14" ht="23.25" customHeight="1" x14ac:dyDescent="0.2">
      <c r="A5" s="20">
        <v>4</v>
      </c>
      <c r="B5" s="20" t="s">
        <v>514</v>
      </c>
      <c r="C5" s="20" t="s">
        <v>515</v>
      </c>
      <c r="D5" s="20" t="s">
        <v>516</v>
      </c>
      <c r="E5" s="20"/>
      <c r="F5" s="20" t="s">
        <v>517</v>
      </c>
      <c r="G5" s="20" t="s">
        <v>518</v>
      </c>
      <c r="H5" s="20" t="s">
        <v>316</v>
      </c>
      <c r="I5" s="20" t="s">
        <v>519</v>
      </c>
      <c r="J5" s="20" t="s">
        <v>520</v>
      </c>
      <c r="K5" s="20" t="s">
        <v>521</v>
      </c>
      <c r="L5" s="20" t="s">
        <v>522</v>
      </c>
      <c r="M5" s="20" t="s">
        <v>291</v>
      </c>
      <c r="N5" s="20" t="s">
        <v>523</v>
      </c>
    </row>
    <row r="6" spans="1:14" ht="23.25" customHeight="1" x14ac:dyDescent="0.2">
      <c r="A6" s="20">
        <v>5</v>
      </c>
      <c r="B6" s="20" t="s">
        <v>524</v>
      </c>
      <c r="C6" s="20" t="s">
        <v>525</v>
      </c>
      <c r="D6" s="20" t="s">
        <v>526</v>
      </c>
      <c r="E6" s="20" t="s">
        <v>527</v>
      </c>
      <c r="F6" s="20" t="s">
        <v>528</v>
      </c>
      <c r="G6" s="20" t="s">
        <v>529</v>
      </c>
      <c r="H6" s="20" t="s">
        <v>530</v>
      </c>
      <c r="I6" s="20" t="s">
        <v>531</v>
      </c>
      <c r="J6" s="20" t="s">
        <v>532</v>
      </c>
      <c r="K6" s="20" t="s">
        <v>533</v>
      </c>
      <c r="L6" s="20" t="s">
        <v>534</v>
      </c>
      <c r="M6" s="20" t="s">
        <v>535</v>
      </c>
      <c r="N6" s="20" t="s">
        <v>389</v>
      </c>
    </row>
    <row r="7" spans="1:14" ht="23.25" customHeight="1" x14ac:dyDescent="0.2">
      <c r="A7" s="20">
        <v>6</v>
      </c>
      <c r="B7" s="20" t="s">
        <v>536</v>
      </c>
      <c r="C7" s="20" t="s">
        <v>537</v>
      </c>
      <c r="D7" s="20" t="s">
        <v>538</v>
      </c>
      <c r="E7" s="20" t="s">
        <v>539</v>
      </c>
      <c r="F7" s="20" t="s">
        <v>540</v>
      </c>
      <c r="G7" s="20" t="s">
        <v>541</v>
      </c>
      <c r="H7" s="20" t="s">
        <v>542</v>
      </c>
      <c r="I7" s="20" t="s">
        <v>543</v>
      </c>
      <c r="J7" s="20" t="s">
        <v>520</v>
      </c>
      <c r="K7" s="20" t="s">
        <v>544</v>
      </c>
      <c r="L7" s="20" t="s">
        <v>545</v>
      </c>
      <c r="M7" s="20" t="s">
        <v>546</v>
      </c>
      <c r="N7" s="20" t="s">
        <v>547</v>
      </c>
    </row>
    <row r="8" spans="1:14" ht="34.5" customHeight="1" x14ac:dyDescent="0.2">
      <c r="A8" s="20">
        <v>7</v>
      </c>
      <c r="B8" s="20" t="s">
        <v>548</v>
      </c>
      <c r="C8" s="20" t="s">
        <v>549</v>
      </c>
      <c r="D8" s="20" t="s">
        <v>550</v>
      </c>
      <c r="E8" s="20" t="s">
        <v>551</v>
      </c>
      <c r="F8" s="20" t="s">
        <v>552</v>
      </c>
      <c r="G8" s="20" t="s">
        <v>553</v>
      </c>
      <c r="H8" s="20" t="s">
        <v>463</v>
      </c>
      <c r="I8" s="20" t="s">
        <v>464</v>
      </c>
      <c r="J8" s="20" t="s">
        <v>554</v>
      </c>
      <c r="K8" s="20" t="s">
        <v>555</v>
      </c>
      <c r="L8" s="20" t="s">
        <v>465</v>
      </c>
      <c r="M8" s="20" t="s">
        <v>466</v>
      </c>
      <c r="N8" s="20" t="s">
        <v>467</v>
      </c>
    </row>
    <row r="10" spans="1:14" ht="15" customHeight="1" x14ac:dyDescent="0.2">
      <c r="A10" s="24" t="s">
        <v>556</v>
      </c>
    </row>
    <row r="11" spans="1:14" ht="15" customHeight="1" x14ac:dyDescent="0.2">
      <c r="A11" s="24" t="s">
        <v>557</v>
      </c>
    </row>
    <row r="12" spans="1:14" ht="15" customHeight="1" x14ac:dyDescent="0.2">
      <c r="A12" s="24" t="s">
        <v>558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Lisez-moi</vt:lpstr>
      <vt:lpstr>Test</vt:lpstr>
      <vt:lpstr>Axes</vt:lpstr>
      <vt:lpstr>Questions</vt:lpstr>
      <vt:lpstr>Matrice</vt:lpstr>
      <vt:lpstr>Metiers</vt:lpstr>
      <vt:lpstr>Familles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RAOELISON GUITTON Joelle</cp:lastModifiedBy>
  <cp:revision>0</cp:revision>
  <dcterms:created xsi:type="dcterms:W3CDTF">2026-10-28T10:11:15Z</dcterms:created>
  <dcterms:modified xsi:type="dcterms:W3CDTF">2026-10-28T13:25:00Z</dcterms:modified>
  <dc:language>en-US</dc:language>
</cp:coreProperties>
</file>