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joelleguitton/Downloads/jeu v2/"/>
    </mc:Choice>
  </mc:AlternateContent>
  <xr:revisionPtr revIDLastSave="0" documentId="8_{26FCDF19-E5D4-834E-B135-EDD37521B88E}" xr6:coauthVersionLast="47" xr6:coauthVersionMax="47" xr10:uidLastSave="{00000000-0000-0000-0000-000000000000}"/>
  <bookViews>
    <workbookView xWindow="0" yWindow="660" windowWidth="29400" windowHeight="18460" tabRatio="500" xr2:uid="{00000000-000D-0000-FFFF-FFFF00000000}"/>
  </bookViews>
  <sheets>
    <sheet name="Table 1" sheetId="1" r:id="rId1"/>
    <sheet name="Références sourc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Q51" i="1" l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</calcChain>
</file>

<file path=xl/sharedStrings.xml><?xml version="1.0" encoding="utf-8"?>
<sst xmlns="http://schemas.openxmlformats.org/spreadsheetml/2006/main" count="1027" uniqueCount="453">
  <si>
    <t>Axe</t>
  </si>
  <si>
    <t>Nom de l'axe</t>
  </si>
  <si>
    <t>Question posée</t>
  </si>
  <si>
    <t>Pôle 1 (code)</t>
  </si>
  <si>
    <t>Pôle 1</t>
  </si>
  <si>
    <t>Pôle 2 (code)</t>
  </si>
  <si>
    <t>Pôle 2</t>
  </si>
  <si>
    <t>Ce que mesure l'axe</t>
  </si>
  <si>
    <t>Compétences durables liées (pôle 1 / pôle 2)</t>
  </si>
  <si>
    <t>Question équivalente vie quotidienne collégien</t>
  </si>
  <si>
    <t>Mise en situation quotidienne</t>
  </si>
  <si>
    <t>Idées de métiers associés</t>
  </si>
  <si>
    <t>Parcours scolaires et matières au lycée</t>
  </si>
  <si>
    <t>Source</t>
  </si>
  <si>
    <t>Question de personnalité (affirmation en « je »)</t>
  </si>
  <si>
    <t>Pôle visé si Oui</t>
  </si>
  <si>
    <t>Pôle visé si Non</t>
  </si>
  <si>
    <t>Formulation</t>
  </si>
  <si>
    <t>Dimension de personnalité (inspirée du modèle des 5 facteurs)</t>
  </si>
  <si>
    <t>Mise en situation illustrative (personnalité)</t>
  </si>
  <si>
    <t>Source personnalité</t>
  </si>
  <si>
    <t>1</t>
  </si>
  <si>
    <t>Ce qui m'attire</t>
  </si>
  <si>
    <t>Dans un projet tech, est-ce que tu préfères échanger avec les utilisateurs pour comprendre ce qu'ils veulent plutôt que programmer le moteur du logiciel ?</t>
  </si>
  <si>
    <t>H</t>
  </si>
  <si>
    <t>Les personnes (utilisateurs, équipes)</t>
  </si>
  <si>
    <t>T</t>
  </si>
  <si>
    <t>La technique (code, données, machines)</t>
  </si>
  <si>
    <t>Tourné vers les gens ou vers les systèmes</t>
  </si>
  <si>
    <t>Coopérer en équipe, Communiquer et expliquer / Résoudre avec méthode, Analyser et raisonner</t>
  </si>
  <si>
    <t>Quand tu prépares un exposé, tu préfères t'occuper de répartir la parole et demander l'avis des copains plutôt que de passer du temps à chercher toutes les informations théoriques ?</t>
  </si>
  <si>
    <t>Lors d'un travail de groupe en classe, tu demandes à chacun si le sujet lui plaît et comment il se sent avant de foncer dans les recherches.</t>
  </si>
  <si>
    <t>UX Designer, UI Designer, Chef de projet IT, Product Owner</t>
  </si>
  <si>
    <t>Bac Général : Spécialités Numérique et Sciences Informatiques (NSI), Mathématiques, SES ou Humanités, Littérature et Philosophie (HLP). BTS SIO (option SLAM) ou BUT Informatique.</t>
  </si>
  <si>
    <t>Je remarque vite quand quelqu'un autour de moi n'est pas à l'aise.</t>
  </si>
  <si>
    <t>directe</t>
  </si>
  <si>
    <t>Agréabilité (sensibilité aux autres)</t>
  </si>
  <si>
    <t>Un camarade devient silencieux pendant le travail de groupe : tu le vois tout de suite.</t>
  </si>
  <si>
    <t>2</t>
  </si>
  <si>
    <t>Préfères-tu comprendre les émotions des gens pour imaginer une application agréable à utiliser plutôt que créer l'architecture d'un serveur web ?</t>
  </si>
  <si>
    <t>Tu préfères participer à l'organisation d'un anniversaire en demandant les goûts de chacun plutôt que de tout installer en solo dans la pièce ?</t>
  </si>
  <si>
    <t>Tu prépares une fête de classe et tu fais un sondage auprès de tes camarades pour choisir le meilleur gâteau et la musique.</t>
  </si>
  <si>
    <t>UX Designer, Product Designer, Community Manager, Customer Success Manager</t>
  </si>
  <si>
    <t>Bac Général : Spécialités NSI, SES, Arts. Bac STI2D. Licence Pro ou BUT Métiers du Multimédia et de l'Internet (MMI).</t>
  </si>
  <si>
    <t>Je perds la notion du temps quand je règle ou démonte un appareil.</t>
  </si>
  <si>
    <t>Ouverture (curiosité technique)</t>
  </si>
  <si>
    <t>Tu démontes une vieille console et tu réalises que deux heures ont passé.</t>
  </si>
  <si>
    <t>Est-ce que tu prends plaisir à animer une réunion d'équipe informatique plutôt qu'à configurer un équipement réseau complexe ?</t>
  </si>
  <si>
    <t>Dans l'équipe de sport ou dans ton groupe d'amis, tu aimes bien faire circuler la parole et encourager les autres plutôt que d'être concentré uniquement sur ta technique personnelle ?</t>
  </si>
  <si>
    <t>Pendant un match d'EPS, tu regroupes tes camarades à la mi-temps pour discuter du jeu et remonter le moral des troupes.</t>
  </si>
  <si>
    <t>Scrum Master, Coach Agile, Chef de projet digital, Directeur de projets</t>
  </si>
  <si>
    <t>Bac Général : Spécialités NSI, Mathématiques, Histoire-Géographie, Géopolitique et Sciences Politiques (HGGSP). Écoles de commerce ou BUT Informatique.</t>
  </si>
  <si>
    <t>Je m'ennuie rarement quand il faut écouter les autres ou animer un groupe.</t>
  </si>
  <si>
    <t>négative</t>
  </si>
  <si>
    <t>Extraversion (sociabilité)</t>
  </si>
  <si>
    <t>Pendant une réunion de club, tu écoutes chacun avec intérêt ou tu prends l'animation.</t>
  </si>
  <si>
    <t>Tu préfères expliquer à un client comment fonctionne son logiciel plutôt que de passer des heures à écrire du code au calme ?</t>
  </si>
  <si>
    <t>Si ton voisin de table a manqué un cours, tu aimes lui réexpliquer la leçon plutôt que de réviser seul dans ton coin ?</t>
  </si>
  <si>
    <t>Un camarade de classe a du mal à comprendre un exercice de maths, tu t'assieds avec lui pour lui expliquer patiemment les étapes.</t>
  </si>
  <si>
    <t>Consultant fonctionnel, Customer Success Manager, Technicien support informatique, Business Developer</t>
  </si>
  <si>
    <t>Bac Général (SES, NSI, Langues) ou Bac STMG (SIG). BTS SIO (option SISR ou SLAM) ou BUT MMI.</t>
  </si>
  <si>
    <t>Je m'ennuie vite quand une discussion de groupe dure longtemps.</t>
  </si>
  <si>
    <t>Extraversion (faible)</t>
  </si>
  <si>
    <t>Pendant une réunion de classe qui s'éternise, tu regardes par la fenêtre.</t>
  </si>
  <si>
    <t>Est-ce que tu es plus stimulé par l'idée de résoudre un problème technique sur un ordinateur que par la gestion des relations humaines ?</t>
  </si>
  <si>
    <t>Quand ton ordinateur ou ton téléphone a un bug, tu penses à fouiller dans les réglages avancés plutôt que d'appeler un ami pour savoir comment il va ?</t>
  </si>
  <si>
    <t>Ta console de jeu refuse de se connecter au Wi-Fi, tu cherches pendant deux heures dans le menu de configuration jusqu'à ce que ça fonctionne.</t>
  </si>
  <si>
    <t>Administrateur systèmes et réseaux, Ingénieur Cloud, Développeur backend, Ingénieur IoT</t>
  </si>
  <si>
    <t>Bac Général : Spécialités NSI, Mathématiques, Physique-Chimie. BTS SIO (SISR) ou BUT Informatique / Réseaux et Télécommunications (RT).</t>
  </si>
  <si>
    <t>Quand je découvre un objet, je pense d'abord aux gens qui vont s'en servir.</t>
  </si>
  <si>
    <t>Agréabilité (orientation vers les usages)</t>
  </si>
  <si>
    <t>En découvrant un nouveau jouet, tu te demandes qui va l'aimer ou en avoir besoin.</t>
  </si>
  <si>
    <t>Préfères-tu analyser des algorithmes complexes et de la donnée plutôt que d'animer la communication de l'entreprise ?</t>
  </si>
  <si>
    <t>Tu aimes mieux passer du temps à résoudre un casse-tête de logique seul sur ton bureau que d'organiser une sortie de groupe ?</t>
  </si>
  <si>
    <t>Pendant ton temps libre, tu préfères jouer à des jeux de stratégie ou de réflexion plutôt que d'envoyer des messages sur les réseaux sociaux.</t>
  </si>
  <si>
    <t>Data Scientist, Data Engineer, Machine Learning Engineer, Développeur full stack</t>
  </si>
  <si>
    <t>Bac Général : Spécialités NSI, Mathématiques, Physique-Chimie. Classe Préparatoire (MPI), Écoles d'Ingénieurs, BUT Informatique.</t>
  </si>
  <si>
    <t>Quand je découvre un objet, je veux d'abord comprendre comment il marche.</t>
  </si>
  <si>
    <t>En découvrant un nouveau jouet, tu cherches d'abord comment il fonctionne à l'intérieur.</t>
  </si>
  <si>
    <t>Es-tu fasciné par le fonctionnement matériel d'un robot ou d'une carte électronique plutôt que par l'aspect visuel ou social du projet ?</t>
  </si>
  <si>
    <t>Quand tu as un objet cassé chez toi, tu préfères le démonter avec un tournevis pour voir comment c'est fait à l'intérieur plutôt que d'en racheter un autre ?</t>
  </si>
  <si>
    <t>Un stylo à bille automatique ne fonctionne plus, tu le démontes en pièces détachées pour analyser le ressort et le mécanisme.</t>
  </si>
  <si>
    <t>Ingénieur logiciel embarqué, Développeur firmware, Ingénieur IoT, Technicien datacenter</t>
  </si>
  <si>
    <t>Bac STI2D (option SIN) ou Bac Général (NSI, SI, Mathématiques). BTS CIEL (Cybersécurité, Informatique et Réseaux) ou BUT GEII.</t>
  </si>
  <si>
    <t>Les autres viennent facilement me confier leurs soucis ou leurs idées.</t>
  </si>
  <si>
    <t>Agréabilité (écoute)</t>
  </si>
  <si>
    <t>À la récré, un ami te raconte ses problèmes sans que tu lui demandes.</t>
  </si>
  <si>
    <t>Est-ce que tu trouves plus captivant de sécuriser des réseaux contre des attaques informatiques que de rédiger du contenu commercial ?</t>
  </si>
  <si>
    <t>Pour protéger tes affaires dans ta chambre, tu préfères installer un cadenas ou inventer un code secret plutôt que de négocier avec tes frères et sœurs ?</t>
  </si>
  <si>
    <t>Tu mets un mot de passe complexe sur ton journal intime ou ton casier au collège pour vérifier que personne ne peut l'ouvrir.</t>
  </si>
  <si>
    <t>Analyste SOC, Pentesteur, Auditeur SSI, Ingénieur Cybersécurité</t>
  </si>
  <si>
    <t>Bac Général : NSI, Mathématiques, Physique-Chimie. Master Cybersécurité, BUT Réseaux et Télécommunications (parcours Cybersécurité).</t>
  </si>
  <si>
    <t>Je me sens bien seul(e) devant un problème à résoudre, sans qu'on me parle.</t>
  </si>
  <si>
    <t>Extraversion (faible) et autonomie</t>
  </si>
  <si>
    <t>Tu cherches la panne d'un jeu dans le calme, sans que personne ne te parle.</t>
  </si>
  <si>
    <t>Préfères-tu paramétrer un serveur informatique dans le cloud plutôt que négocier avec des fournisseurs ?</t>
  </si>
  <si>
    <t>Tu préfères ranger tes fichiers informatiques dans des dossiers très précis sur ton ordinateur plutôt que d'en discuter avec tes camarades de classe ?</t>
  </si>
  <si>
    <t>Sur ton ordinateur, tu crées des sous-dossiers classés par année, par matière et par chapitre pour retrouver n'importe quel devoir en un clic.</t>
  </si>
  <si>
    <t>Architecte Cloud, Cloud Engineer, Administrateur systèmes, DevOps Engineer</t>
  </si>
  <si>
    <t>Bac Général : Spécialités NSI, Mathématiques. BTS SIO (SISR), BUT Informatique.</t>
  </si>
  <si>
    <t>J'aime que mon travail rende directement service à quelqu'un.</t>
  </si>
  <si>
    <t>Agréabilité (sens du service)</t>
  </si>
  <si>
    <t>Tu passes ton mercredi à aider un voisin à installer son ordinateur.</t>
  </si>
  <si>
    <t>Aimes-tu plus chercher des erreurs (bugs) dans des lignes de code informatique que convaincre un groupe de suivre tes idées ?</t>
  </si>
  <si>
    <t>Dans ta rédaction de français, tu préfères relire mot à mot pour traquer les fautes d'orthographe plutôt que de débattre à voix haute de ton sujet ?</t>
  </si>
  <si>
    <t>Une fois ton devoir terminé, tu relis attentivement chaque ligne avec une règle pour repérer la moindre faute de frappe ou d'étourderie.</t>
  </si>
  <si>
    <t>Testeur logiciel, Ingénieur QA, Analyste de données, Développeur backend</t>
  </si>
  <si>
    <t>Bac Général : NSI, Mathématiques, Français. BTS SIO, BUT Informatique.</t>
  </si>
  <si>
    <t>Je n'ai pas besoin de l'avis des autres pour savoir si une solution technique marche.</t>
  </si>
  <si>
    <t>Autonomie</t>
  </si>
  <si>
    <t>Ta lampe s'allume : tu sais que ça marche, sans demander l'avis de personne.</t>
  </si>
  <si>
    <t>Est-ce que tu es fasciné par la façon dont les serveurs d'un data center fonctionnent ensemble plutôt que par les campagnes publicitaires sur TikTok ?</t>
  </si>
  <si>
    <t>Tu t'intéresses plus au système de plomberie ou d'électricité de ta maison qu'aux discussions du repas de famille ?</t>
  </si>
  <si>
    <t>Pendant les travaux chez toi, tu observes comment l'électricien relie les câbles au tableau électrique plutôt que d'écouter les conversations à la télévision.</t>
  </si>
  <si>
    <t>Technicien datacenter, Ingénieur datacenter, Architecte réseau, Administrateur système</t>
  </si>
  <si>
    <t>Bac Pro CIEL, Bac STI2D, Bac Général (NSI, SI). BTS CIEL ou BUT RT.</t>
  </si>
  <si>
    <t>Je suis à l'aise pour aller parler à des personnes que je ne connais pas.</t>
  </si>
  <si>
    <t>Extraversion (aisance sociale)</t>
  </si>
  <si>
    <t>Dans un nouvel endroit, tu vas dire bonjour à des inconnus sans hésiter.</t>
  </si>
  <si>
    <t>Préfères-tu comprendre comment fonctionne un algorithme d'Intelligence Artificielle plutôt que de gérer le service après-vente pour les clients ?</t>
  </si>
  <si>
    <t>Tu préfères comprendre la règle mathématique cachée derrière un jeu plutôt que d'expliquer les consignes à des joueurs débutants ?</t>
  </si>
  <si>
    <t>Lors d'un jeu de cartes, tu essaies de calculer la probabilité de tirer une carte gagnante au lieu de simplement distribuer les cartes.</t>
  </si>
  <si>
    <t>Data Scientist, Machine Learning Engineer, Prompt Engineer, Analyste Décisionnel</t>
  </si>
  <si>
    <t>Bac Général : Spécialités Mathématiques, NSI, Physique-Chimie. Prépas scientifiques, Universités en math-informatique.</t>
  </si>
  <si>
    <t>Les machines et les appareils me fascinent.</t>
  </si>
  <si>
    <t>Ouverture (intérêt pour les objets)</t>
  </si>
  <si>
    <t>Tu t'arrêtes longtemps devant un robot en vitrine pour le regarder.</t>
  </si>
  <si>
    <t>Est-ce que tu préfères échanger avec des créateurs de contenus pour définir leur stratégie de communication plutôt que de coder un serveur informatique ?</t>
  </si>
  <si>
    <t>Au collège, tu aimes discuter avec les délégués pour proposer des sorties plutôt que d'être tout seul au centre de documentation (CDI) ?</t>
  </si>
  <si>
    <t>Pendant la récréation, tu vas voir tes camarades pour organiser le tournoi de football de la semaine prochaine.</t>
  </si>
  <si>
    <t>Social Media Manager, Community Manager, Growth Hacker, Account Manager</t>
  </si>
  <si>
    <t>Bac Général (SES, HLP, LLCER, NSI) ou Bac STMG. BUT Information-Communication, BTS Communication.</t>
  </si>
  <si>
    <t>Je pense toujours à ce que les autres vont ressentir avant de décider.</t>
  </si>
  <si>
    <t>Agréabilité (empathie)</t>
  </si>
  <si>
    <t>Avant de choisir le menu de la fête, tu penses à ce que chaque invité aimera.</t>
  </si>
  <si>
    <t>Es-tu intéressé par l'analyse des besoins des clients pour adapter les logiciels plutôt que par la programmation pure des algorithmes ?</t>
  </si>
  <si>
    <t>Quand un copain veut choisir un jeu vidéo, tu préfères lui poser des questions sur ce qu'il aime plutôt que de lire la fiche technique de la console ?</t>
  </si>
  <si>
    <t>Un ami hésite entre deux jeux vidéo, tu lui demandes quel genre d'histoire ou de graphismes il préfère pour l'orienter.</t>
  </si>
  <si>
    <t>Consultant ERP, Business Analyst, Product Owner</t>
  </si>
  <si>
    <t>Bac Général (SES, NSI, Mathématiques). BUT Informatique / MMI.</t>
  </si>
  <si>
    <t>J'aime découper un problème en petits morceaux pour le résoudre pas à pas.</t>
  </si>
  <si>
    <t>Ouverture (pensée analytique)</t>
  </si>
  <si>
    <t>Face à un exercice difficile, tu le coupes en étapes et tu les fais une à une.</t>
  </si>
  <si>
    <t>Ma démarche</t>
  </si>
  <si>
    <t>Quand tu dois créer un site web, est-ce que tu préfères imaginer directement le design sur l'écran sans plan plutôt que de lire d'abord un cahier des charges strict ?</t>
  </si>
  <si>
    <t>I</t>
  </si>
  <si>
    <t>Improviser et inventer (créer sur le moment, faire autrement)</t>
  </si>
  <si>
    <t>F</t>
  </si>
  <si>
    <t>Préparer et fiabiliser (anticiper, vérifier)</t>
  </si>
  <si>
    <t>Goût de la création ou de l'analyse et de la fiabilité</t>
  </si>
  <si>
    <t>Créer et innover / Analyser et raisonner, Résoudre avec méthode</t>
  </si>
  <si>
    <t>Quand tu dessines ou que tu construis un Lego, tu préfères inventer ton propre modèle de tête plutôt que de suivre la notice étape par étape ?</t>
  </si>
  <si>
    <t>Tu ouvres une boîte de Lego et tu mélanges directement toutes les pièces pour construire un vaisseau spatial qui n'existe pas sur la boîte.</t>
  </si>
  <si>
    <t>Webdesigner, UI Designer, Brand Content Manager, Prompt Engineer</t>
  </si>
  <si>
    <t>Bac Général : NSI, Arts Plastiques. DN MADE, BUT MMI.</t>
  </si>
  <si>
    <t>Je préfère me lancer sans plan précis et ajuster en route.</t>
  </si>
  <si>
    <t>Conscienciosité (faible) : spontanéité</t>
  </si>
  <si>
    <t>Pour ton exposé, tu commences directement et tu ajustes en cours de route.</t>
  </si>
  <si>
    <t>Aimes-tu trouver une idée originale de dernière minute pour résoudre un problème informatique plutôt que de respecter scrupuleusement une procédure recommandée ?</t>
  </si>
  <si>
    <t>Quand tu prépares une recette de cuisine, tu préfères ajouter des ingrédients au hasard pour tester plutôt que de peser chaque gramme de farine ?</t>
  </si>
  <si>
    <t>Tu prépares un gâteau pour la famille et tu décides de remplacer le sucre par du miel et d'ajouter de la cannelle sans demander à personne.</t>
  </si>
  <si>
    <t>Growth Hacker, Développeur nocode/lowcode, Pentesteur, Entrepreneur tech</t>
  </si>
  <si>
    <t>Bac Général : NSI, SES. Écoles spécialisées Web/Inno, BUT MMI.</t>
  </si>
  <si>
    <t>Je garde toujours en tête mes responsabilités et mes échéances.</t>
  </si>
  <si>
    <t>Conscienciosité (sens du devoir)</t>
  </si>
  <si>
    <t>Tu sais exactement ce que tu dois rendre cette semaine et pour quand.</t>
  </si>
  <si>
    <t>Préféres-tu tester rapidement un concept d'application sans certitude qu'il fonctionne plutôt que d'attendre d'avoir fait une étude théorique complète ?</t>
  </si>
  <si>
    <t>Pendant un cours de technologie, tu préfères commencer à assembler des matériaux tout de suite pour voir ce que ça donne plutôt que d'écrire le schéma théorique ?</t>
  </si>
  <si>
    <t>On te demande de fabriquer un pont en papier au collège : tu découpes et scotches immédiatement les feuilles au lieu de faire un calcul de portée.</t>
  </si>
  <si>
    <t>Growth Hacker, Product Designer, Développeur Front-End, Coach Agile</t>
  </si>
  <si>
    <t>Bac Général : NSI, SI. BUT MMI ou Écoles Web.</t>
  </si>
  <si>
    <t>Je me préoccupe rarement du futur.</t>
  </si>
  <si>
    <t>Conscienciosité (faible) : vie dans l'instant</t>
  </si>
  <si>
    <t>Quand on te parle de ce que tu feras dans cinq ans, tu hausses les épaules.</t>
  </si>
  <si>
    <t>Est-ce que tu penses qu'il vaut mieux inventer de nouveaux concepts de jeux vidéo révolutionnaires plutôt que de vérifier la sécurité de réseaux d'entreprises ?</t>
  </si>
  <si>
    <t>Tu préfères inventer un nouveau jeu avec tes propres règles dans la cour de récréation plutôt que d'appliquer à la lettre les règles d'un jeu classique ?</t>
  </si>
  <si>
    <t>Tu modifies les règles du loup avec tes amis pour rajouter des pouvoirs magiques et des zones de liberté improvisées.</t>
  </si>
  <si>
    <t>UX Designer, Développeur de jeux vidéo, Game Designer, Consultant Innovation</t>
  </si>
  <si>
    <t>Bac Général : NSI, Arts Plastiques, Mathématiques. Écoles d'art ou de JV, BUT Informatique.</t>
  </si>
  <si>
    <t>J'aime savoir à l'avance ce que je vais faire demain.</t>
  </si>
  <si>
    <t>Conscienciosité (planification)</t>
  </si>
  <si>
    <t>Le dimanche soir, tu sais déjà ce que tu feras chaque jour de la semaine.</t>
  </si>
  <si>
    <t>Tu préfères improviser une vidéo promotionnelle pour une application plutôt que de suivre un plan médias figé à l'avance ?</t>
  </si>
  <si>
    <t>Quand tu fais un exposé oral, tu préfères parler spontanément à partir de quelques idées générales plutôt que de lire une fiche rédigée mot à mot ?</t>
  </si>
  <si>
    <t>Devant la classe, tu regardes tes camarades en parlant avec ton cœur plutôt qu'en gardant les yeux fixés sur ta feuille préparée la veille.</t>
  </si>
  <si>
    <t>Community Manager, Brand Content Manager, Consultant en communication, Growth Hacker</t>
  </si>
  <si>
    <t>Bac Général : HLP, SES, NSI. BTS Communication, BUT MMI.</t>
  </si>
  <si>
    <t>Mes idées me viennent surtout quand je suis pressé(e) par le temps.</t>
  </si>
  <si>
    <t>Ouverture (créativité sous pression)</t>
  </si>
  <si>
    <t>Tes meilleures idées arrivent la veille, quand le temps presse.</t>
  </si>
  <si>
    <t>Dans la sécurité informatique, préfères-tu essayer de pirater un système de manière créative plutôt que de rédiger la politique de sécurité de l'entreprise ?</t>
  </si>
  <si>
    <t>Dans une chasse au trésor, tu préfères chercher des raccourcis intelligents plutôt que de suivre scrupuleusement les consignes de la carte ?</t>
  </si>
  <si>
    <t>Lors d'une course d'orientation, tu repères un petit sentier non balisé qui pourrait te faire gagner du temps sur l'itinéraire officiel.</t>
  </si>
  <si>
    <t>Pentesteur (Hacker éthique), Consultant en cybersécurité, Expert en sécurité défensive</t>
  </si>
  <si>
    <t>Bac Général : NSI, Mathématiques. Licence Pro Cybersécurité, BUT RT.</t>
  </si>
  <si>
    <t>Je prépare mes affaires et mes révisions bien avant la date.</t>
  </si>
  <si>
    <t>Conscienciosité (anticipation)</t>
  </si>
  <si>
    <t>Une semaine avant le contrôle, ta fiche de révision est déjà prête.</t>
  </si>
  <si>
    <t>Avant de publier une mise à jour d'un logiciel, est-ce que tu exige qu'elle soit testée de manière ultra-rigoureuse plutôt que de la lancer rapidement ?</t>
  </si>
  <si>
    <t>Avant de rendre un devoir maison, tu relis et vérifies tes résultats plusieurs fois pour être certain d'avoir la note maximale ?</t>
  </si>
  <si>
    <t>Tu refais tes calculs de mathématiques sur une feuille de brouillon avec une calculatrice pour être 100 % sûr qu'aucune erreur ne s'est glissée.</t>
  </si>
  <si>
    <t>Ingénieur QA, Testeur logiciel, Auditeur SSI, Responsable RSSI</t>
  </si>
  <si>
    <t>Bac Général : Mathématiques, NSI, Physique-Chimie. BTS SIO, BUT Informatique.</t>
  </si>
  <si>
    <t>J'aime changer de méthode quand la première ne me plaît plus.</t>
  </si>
  <si>
    <t>Ouverture (flexibilité)</t>
  </si>
  <si>
    <t>Ta première méthode ne te plaît plus : tu en essaies une autre aussitôt.</t>
  </si>
  <si>
    <t>Préféres-tu suivre des procédures strictes de sauvegarde de données pour éviter tout risque de perte plutôt que d'expérimenter de nouveaux outils non vérifiés ?</t>
  </si>
  <si>
    <t>Tu préfères enregistrer tes devoirs informatiques sur une clé USB ET sur un serveur sécurisé pour ne jamais rien perdre ?</t>
  </si>
  <si>
    <t>Après avoir rédigé ton rapport de stage, tu l'envoies sur ton propre mail et tu le copies sur une clé USB par sécurité.</t>
  </si>
  <si>
    <t>Administrateur système, Ingénieur Cloud, Responsable Sécurité des Systèmes d'Information (RSSI)</t>
  </si>
  <si>
    <t>Bac Général : NSI, Mathématiques. BTS SIO (SISR), BUT RT.</t>
  </si>
  <si>
    <t>Je me sens mal à l'aise quand une tâche reste inachevée.</t>
  </si>
  <si>
    <t>Conscienciosité (persévérance)</t>
  </si>
  <si>
    <t>Un devoir à moitié fini te trotte dans la tête jusqu'à ce qu'il soit terminé.</t>
  </si>
  <si>
    <t>Est-ce que tu préfères planifier chaque étape de création d'un projet informatique avec des dates précises plutôt que de gérer les tâches au jour le jour ?</t>
  </si>
  <si>
    <t>Quand tu révises pour le brevet, tu te prépares un planning de révision par jour et par matière deux mois à l'avance ?</t>
  </si>
  <si>
    <t>Chaque dimanche soir, tu notes dans un agenda les chapitres à réviser jour par jour pour la semaine à venir.</t>
  </si>
  <si>
    <t>Chef de projet IT, PMO (Project Management Officer), Directrice de projet</t>
  </si>
  <si>
    <t>Bac Général : SES, Mathématiques, NSI. Écoles de commerce, Master Management de projet.</t>
  </si>
  <si>
    <t>Je m'ennuie vite quand je dois refaire plusieurs fois la même chose.</t>
  </si>
  <si>
    <t>Ouverture (besoin de nouveauté)</t>
  </si>
  <si>
    <t>On te demande de refaire dix fois le même exercice : tu décroches vite.</t>
  </si>
  <si>
    <t>Aimes-tu analyser précisément les critères de sécurité avant d'installer un nouveau logiciel sur un réseau d'entreprise ?</t>
  </si>
  <si>
    <t>Avant de télécharger une application ou un jeu sur ton téléphone, tu lis attentivement les avis et les autorisations d'accès demandées ?</t>
  </si>
  <si>
    <t>Un jeu vidéo te demande l'accès à ta position GPS et tes contacts : tu refuses l'accès et tu vérifies pourquoi il en a besoin.</t>
  </si>
  <si>
    <t>Auditeur SSI, Consultant risques et conformité, Ingénieur Sécurité</t>
  </si>
  <si>
    <t>Bac Général : NSI, Mathématiques. BUT RT, Master Sécurité informatique.</t>
  </si>
  <si>
    <t>Je relis toujours mon travail avant de le rendre.</t>
  </si>
  <si>
    <t>Conscienciosité (rigueur)</t>
  </si>
  <si>
    <t>Avant de rendre un devoir, tu le relis de bout en bout, même s'il est long.</t>
  </si>
  <si>
    <t>Préféres-tu écrire un code très structuré et commenté pour qu'il n'y ait aucune panne plutôt que d'aller vite pour sortir le produit ?</t>
  </si>
  <si>
    <t>Quand tu ranges tes cahiers de cours, tu ajoutes des étiquettes, des intercalaires et des surligneurs pour que tout soit parfait ?</t>
  </si>
  <si>
    <t>Tu classes tes cours avec un code couleur précis (bleu pour l'histoire, vert pour la géographie) pour retrouver tes leçons instantanément.</t>
  </si>
  <si>
    <t>Lead Developer, Développeur backend, Ingénieur DevSecOps</t>
  </si>
  <si>
    <t>Bac Général : Spécialités NSI, Mathématiques. BUT Informatique, Écoles d'Ingénieurs.</t>
  </si>
  <si>
    <t>J'aime trouver mes propres astuces sans suivre le mode d'emploi.</t>
  </si>
  <si>
    <t>Ouverture (débrouillardise)</t>
  </si>
  <si>
    <t>Tu ne lis pas la notice et tu trouves tes propres astuces pour monter l'objet.</t>
  </si>
  <si>
    <t>Est-ce que tu penses que la vérification rigoureuse des données est plus importante que de concevoir des maquettes graphiques ?</t>
  </si>
  <si>
    <t>Dans un problème de mathématiques, tu accordes plus de valeur à l'exactitude de la preuve qu'à la propreté de ton écriture ?</t>
  </si>
  <si>
    <t>Tu relis entièrement tes équations pour t'assurer qu'aucun chiffre n'est faux avant d'entourer la réponse finale.</t>
  </si>
  <si>
    <t>Data Analyst, Analyste décisionnel, Data Engineer</t>
  </si>
  <si>
    <t>Bac Général : Mathématiques, NSI, Physique-Chimie. BUT STID (Statistique et Informatique Décisionnelle).</t>
  </si>
  <si>
    <t>Je ne laisse presque jamais un détail au hasard.</t>
  </si>
  <si>
    <t>Conscienciosité (minutie)</t>
  </si>
  <si>
    <t>Pour une affiche, tu vérifies l'orthographe et chaque couleur avant de la rendre.</t>
  </si>
  <si>
    <t>Préféres-tu mettre en place un plan de prévention contre les pannes matérielles plutôt que d'intervenir en urgence une fois que le serveur a sauté ?</t>
  </si>
  <si>
    <t>Avant de partir en sortie de classe, tu vérifies dans ton sac deux fois que tu as ton k-way, ta gourde et ton pique-nique ?</t>
  </si>
  <si>
    <t>La veille du voyage scolaire, tu prépares ta tenue sur une chaise et tu revérifies ton sac de cours trois fois.</t>
  </si>
  <si>
    <t>Maintien en Condition Opérationnelle (MCO), Ingénieur système, Responsable infrastructure</t>
  </si>
  <si>
    <t>Bac STI2D, Bac Général (NSI). BTS SIO/CIEL, BUT RT.</t>
  </si>
  <si>
    <t>Je supporte bien qu'un projet change en cours de route.</t>
  </si>
  <si>
    <t>Stabilité émotionnelle (adaptation)</t>
  </si>
  <si>
    <t>Le prof change la consigne en cours de route et tu t'adaptes sans stress.</t>
  </si>
  <si>
    <t>Préfères-tu inventer de nouvelles approches sur TikTok ou Instagram pour faire connaître une marque plutôt que d'analyser des statistiques de fréquentation ?</t>
  </si>
  <si>
    <t>Pour rendre tes cours de géographie plus amusants, tu aimes inventer des chansons ou des petites histoires plutôt que de relire la leçon par cœur ?</t>
  </si>
  <si>
    <t>Tu inventes une chanson avec des rimes rigolotes pour retenir la liste des capitales européennes pour le contrôle du lendemain.</t>
  </si>
  <si>
    <t>Social Media Manager, Growth Hacker, Créateur de contenus numériques</t>
  </si>
  <si>
    <t>Bac Général : Arts, NSI, SES. BTS Communication, BUT MMI.</t>
  </si>
  <si>
    <t>Je me sens rassuré(e) quand tout est rangé et organisé.</t>
  </si>
  <si>
    <t>Conscienciosité (ordre)</t>
  </si>
  <si>
    <t>Ton sac est rangé, ton bureau aussi : tu te sens plus tranquille.</t>
  </si>
  <si>
    <t>3</t>
  </si>
  <si>
    <t>Mon terrain</t>
  </si>
  <si>
    <t>Dans un projet de création de site web, tu préfères présenter le projet en public et rencontrer les utilisateurs plutôt que travailler sur la base de données ?</t>
  </si>
  <si>
    <t>V</t>
  </si>
  <si>
    <t>Côté visible (se montrer, être au contact)</t>
  </si>
  <si>
    <t>C</t>
  </si>
  <si>
    <t>Coulisses (rester en retrait, préparer)</t>
  </si>
  <si>
    <t>Contact avec les utilisateurs ou travail en arrière-plan</t>
  </si>
  <si>
    <t>Communiquer et expliquer / Apprendre à apprendre, Résoudre avec méthode</t>
  </si>
  <si>
    <t>Pour la fête du collège, tu préfères être sur scène pour animer le spectacle ou parler au micro plutôt que de gérer la lumière en coulisses ?</t>
  </si>
  <si>
    <t>Tu te portes volontaire pour être le maître de cérémonie du spectacle de fin d'année devant tous les parents d'élèves.</t>
  </si>
  <si>
    <t>Business Developer, Commercial IT, UX Researcher, Community Manager</t>
  </si>
  <si>
    <t>Bac Général : SES, LLCER, NSI ou Bac STMG. BUT Technique de Commercialisation (TC) ou MMI.</t>
  </si>
  <si>
    <t>Je n'ai pas peur de parler devant un groupe.</t>
  </si>
  <si>
    <t>Extraversion (assurance)</t>
  </si>
  <si>
    <t>Le prof te demande de présenter ton travail : tu te lèves sans appréhension.</t>
  </si>
  <si>
    <t>Tu préfères créer des visuels stimulants pour les réseaux sociaux plutôt que de configurer des commutateurs réseaux ?</t>
  </si>
  <si>
    <t>Pour l'anniversaire d'un ami, tu préfères fabriquer une superbe carte d'invitation colorée plutôt que d'installer la salle de fête ?</t>
  </si>
  <si>
    <t>Tu passes des heures sur Canva pour dessiner la plus belle affiche du journal du collège.</t>
  </si>
  <si>
    <t>Responsable marketing digital, Graphic Designer, Consultant SEO/SEA, Content Manager</t>
  </si>
  <si>
    <t>Bac Général : NSI, Arts, SES. BTS Communication, BUT MMI.</t>
  </si>
  <si>
    <t>Je travaille mieux quand personne ne regarde par-dessus mon épaule.</t>
  </si>
  <si>
    <t>Extraversion (faible) : discrétion</t>
  </si>
  <si>
    <t>Tu avances mieux quand personne ne regarde ce que tu fais.</t>
  </si>
  <si>
    <t>Aimes-tu être en première ligne pour aider un utilisateur bloqué sur son ordinateur plutôt que de rester isolé à développer un logiciel ?</t>
  </si>
  <si>
    <t>Quand tes grands-parents n'arrivent pas à utiliser leur téléphone portable, tu aimes prendre le temps de leur montrer en direct ?</t>
  </si>
  <si>
    <t>Tu te mets à côté de ta grand-mère pour lui expliquer comment envoyer une photo par message depuis son nouveau smartphone.</t>
  </si>
  <si>
    <t>Technicien de support, Customer Success Manager, Assistant utilisateur IT</t>
  </si>
  <si>
    <t>Bac Pro CIEL, Bac STMG, Bac Général. BTS SIO (SISR), BUT MMI.</t>
  </si>
  <si>
    <t>J'aime que les autres voient et réagissent à ce que je fais.</t>
  </si>
  <si>
    <t>Extraversion (besoin d'attention)</t>
  </si>
  <si>
    <t>Tu postes ou affiches ta création pour voir les réactions des autres.</t>
  </si>
  <si>
    <t>Préféres-tu présenter tes réalisations digitales directement aux clients plutôt que de travailler dans l'ombre sur la cybersécurité ?</t>
  </si>
  <si>
    <t>En classe, tu aimes bien faire la démonstration de ton projet de technologie au tableau devant tout le monde ?</t>
  </si>
  <si>
    <t>Tu lèves la main sans hésiter pour faire la démonstration de la maquette que ton groupe a construite.</t>
  </si>
  <si>
    <t>Consultant avant-vente, Account Manager, Consultant transformation digitale</t>
  </si>
  <si>
    <t>Bac Général : SES, NSI. Écoles de Commerce, BTS NDCR.</t>
  </si>
  <si>
    <t>Je me sens bien dans l'ombre quand j'aide un projet à réussir.</t>
  </si>
  <si>
    <t>Agréabilité (modestie)</t>
  </si>
  <si>
    <t>Tu aides un projet à réussir sans que ton nom apparaisse sur l'affiche.</t>
  </si>
  <si>
    <t>Est-ce que tu te sens plus à l'aise quand tu gères la relation avec le public sur internet plutôt que l'infrastructure réseau sous terre ?</t>
  </si>
  <si>
    <t>Dans le club de sport, tu préfères t'occuper de l'accueil des nouveaux adhérents plutôt que de porter le matériel à la fin ?</t>
  </si>
  <si>
    <t>Tu vas dire bonjour aux nouveaux élèves qui viennent d'arriver au collège pour qu'ils ne se sentent pas seuls.</t>
  </si>
  <si>
    <t>Community Manager, Brand Content Manager, Growth Hacker</t>
  </si>
  <si>
    <t>Bac Général (SES, HLP, NSI). BTS Communication, BUT MMI.</t>
  </si>
  <si>
    <t>Je me sens plein(e) d'énergie après avoir passé du temps avec beaucoup de monde.</t>
  </si>
  <si>
    <t>Extraversion (énergie sociale)</t>
  </si>
  <si>
    <t>Après une grande fête, tu as encore de l'énergie pour continuer.</t>
  </si>
  <si>
    <t>Préfères-tu concevoir les menus et les boutons visibles d'une application (front-end) plutôt que de gérer les bases de données cachées (back-end) ?</t>
  </si>
  <si>
    <t>Tu aimes plus choisir la décoration et la peinture de ta chambre que de t'occuper de réparer l'isolation derrière le mur ?</t>
  </si>
  <si>
    <t>Tu choisis la couleur des murs et les posters de ta chambre pour créer un espace esthétique qui te ressemble.</t>
  </si>
  <si>
    <t>Développeur Front-End, UI Designer, Webdesigner</t>
  </si>
  <si>
    <t>Bac Général : NSI, Arts. BUT Informatique ou MMI.</t>
  </si>
  <si>
    <t>J'ai besoin de moments au calme pour retrouver de l'énergie.</t>
  </si>
  <si>
    <t>Extraversion (faible) : introversion</t>
  </si>
  <si>
    <t>Après une journée avec beaucoup de monde, tu as besoin de calme.</t>
  </si>
  <si>
    <t>Dans un projet informatique, tu te sens plus utile en restant dans les coulisses pour programmer la logique plutôt qu'en allant échanger avec le client ?</t>
  </si>
  <si>
    <t>Au théâtre ou au cinéma du collège, tu préfères être à la régie lumière/son plutôt que d'être l'acteur principal sous les projecteurs ?</t>
  </si>
  <si>
    <t>Tu t'installes au fond de la salle informatique pour gérer la musique du spectacle sans qu'on te voie.</t>
  </si>
  <si>
    <t>Développeur Back-End, Administrateur base de données, Data Engineer</t>
  </si>
  <si>
    <t>Bac Général : NSI, Mathématiques. BUT Informatique, BTS SIO.</t>
  </si>
  <si>
    <t>Je me fais facilement remarquer dans un groupe.</t>
  </si>
  <si>
    <t>Extraversion (affirmation)</t>
  </si>
  <si>
    <t>Dans un groupe, on te repère facilement.</t>
  </si>
  <si>
    <t>Préféres-tu travailler sur l'architecture invisible des réseaux informatiques plutôt que d'animer une communauté sur des réseaux sociaux ?</t>
  </si>
  <si>
    <t>Dans ton groupe d'amis, tu préfères t'occuper discrètement de préparer le matériel pour la journée au lieu de faire le clown devant tout le monde ?</t>
  </si>
  <si>
    <t>Tu vérifies dans ton sac de sport que tes camarades n'ont pas oublié les ballons et les chasubles avant l'entraînement.</t>
  </si>
  <si>
    <t>Architecte Réseau, Ingénieur Cloud, Administrateur systèmes</t>
  </si>
  <si>
    <t>Je me fais rarement remarquer dans un groupe, et cela me convient.</t>
  </si>
  <si>
    <t>Extraversion (faible) : retenue</t>
  </si>
  <si>
    <t>En sortie de classe, tu restes plutôt en retrait du groupe, et tu y es bien.</t>
  </si>
  <si>
    <t>Est-ce que tu trouves passionnant de surveiller en coulisses la sécurité informatique d'une banque sans jamais croiser les clients ?</t>
  </si>
  <si>
    <t>Quand tu joues à un jeu vidéo, tu préfères être le stratège silencieux à l'arrière plutôt que d'être au premier rang sur le terrain de combat ?</t>
  </si>
  <si>
    <t>Dans un jeu multijoueur, tu choisis la classe soutien ou sniper pour observer la carte à distance et aider tes coéquipiers.</t>
  </si>
  <si>
    <t>Analyste SOC, Opérateur de cybersécurité, Ingénieur défense SSI</t>
  </si>
  <si>
    <t>J'aime accueillir les gens et les mettre à l'aise.</t>
  </si>
  <si>
    <t>Extraversion et agréabilité (accueil)</t>
  </si>
  <si>
    <t>À ton anniversaire, tu veilles à ce que chaque invité se sente accueilli.</t>
  </si>
  <si>
    <t>Aimes-tu l'idée de fabriquer et programmer en atelier des capteurs pour robots (IoT) plutôt que de gérer des relations publiques ?</t>
  </si>
  <si>
    <t>Tu préfères passer des heures à réparer ton vélo au garage dans le calme plutôt que d'aller dans une fête où il y a plein de monde ?</t>
  </si>
  <si>
    <t>Tu restes dans le garage le samedi après-midi à régler les freins et graisser la chaîne de ton vélo tranquillement.</t>
  </si>
  <si>
    <t>Développeur firmware, Ingénieur IoT, Ingénieur systèmes embarqués</t>
  </si>
  <si>
    <t>Bac STI2D, Bac Général (NSI, SI). BTS CIEL, BUT GEII / Informatique.</t>
  </si>
  <si>
    <t>Je suis heureux(se) de préparer une surprise sans qu'on sache que c'est moi.</t>
  </si>
  <si>
    <t>Agréabilité (discrétion)</t>
  </si>
  <si>
    <t>Tu prépares un cadeau surprise sans en parler à personne.</t>
  </si>
  <si>
    <t>Tu es plus stimulé par l'idée d'automatiser des serveurs informatiques en arrière-plan que par la rédaction d'articles de blog ?</t>
  </si>
  <si>
    <t>Dans ta chambre, tu préfères installer des multiprises intelligentes cachées derrière les meubles plutôt que de repeindre les murs ?</t>
  </si>
  <si>
    <t>Tu dissimules soigneusement tous les fils électriques derrière ton bureau pour que tout fonctionne discrètement.</t>
  </si>
  <si>
    <t>Ingénieur DevOps, Administrateur Cloud, Ingénieur Automatisation</t>
  </si>
  <si>
    <t>Bac Général : NSI, Mathématiques. BUT Informatique, Écoles d'Ingénieurs.</t>
  </si>
  <si>
    <t>Je prends facilement la parole en premier dans un débat.</t>
  </si>
  <si>
    <t>Extraversion (initiative)</t>
  </si>
  <si>
    <t>En débat, tu lèves la main en premier pour donner ton avis.</t>
  </si>
  <si>
    <t>Préféres-tu analyser d'immenses paquets de données numériques dans l'ombre plutôt que de passer du temps au téléphone avec des clients ?</t>
  </si>
  <si>
    <t>Pendant un projet d'Histoire, tu préfères fouiller dans les archives du CDI pour trouver les documents secrets plutôt que de faire le discours devant la classe ?</t>
  </si>
  <si>
    <t>Tu penses à trouver des livres rares dans les étagères de la bibliothèque pour enrichir le dossier écrit de ton groupe.</t>
  </si>
  <si>
    <t>Data Engineer, Data Analyst, Expert décisionnel</t>
  </si>
  <si>
    <t>Bac Général : Mathématiques, NSI. BUT STID ou Informatique.</t>
  </si>
  <si>
    <t>Je réfléchis longtemps avant de prendre la parole.</t>
  </si>
  <si>
    <t>Extraversion (faible) : réflexion</t>
  </si>
  <si>
    <t>En débat, tu écoutes d'abord les autres et tu réponds après avoir réfléchi.</t>
  </si>
  <si>
    <t>Tu te sens plus à l'aise pour concevoir des expériences interactives visuelles pour les utilisateurs que pour configurer la sécurité des accès ?</t>
  </si>
  <si>
    <t>Au club journal du collège, tu préfères choisir les photos et la mise en page plutôt que d'écrire les codes d'accès au serveur d'impression ?</t>
  </si>
  <si>
    <t>Tu disposes les titres en couleur et ajoutes des illustrations pour rendre le journal de la classe attractif.</t>
  </si>
  <si>
    <t>UX Designer, UI Designer, UX Researcher</t>
  </si>
  <si>
    <t>Bac Général : NSI, Arts. BUT MMI, DN MADE.</t>
  </si>
  <si>
    <t>Je ne suis pas gêné(e) de montrer un travail qui n'est pas parfait.</t>
  </si>
  <si>
    <t>Stabilité émotionnelle (confiance en soi)</t>
  </si>
  <si>
    <t>Tu montres ton dessin à la classe même s'il n'est pas terminé.</t>
  </si>
  <si>
    <t>4</t>
  </si>
  <si>
    <t>Ma façon de travailler</t>
  </si>
  <si>
    <t>Dans un projet tech, est-ce que tu préfères devenir un expert absolu dans un langage de programmation plutôt que de gérer l'organisation de l'équipe ?</t>
  </si>
  <si>
    <t>E</t>
  </si>
  <si>
    <t>Expertise en profondeur (je maîtrise à fond)</t>
  </si>
  <si>
    <t>K</t>
  </si>
  <si>
    <t>Collectif et coordination (je fais avancer ensemble)</t>
  </si>
  <si>
    <t>Expertise individuelle ou travail collectif</t>
  </si>
  <si>
    <t>Apprendre à apprendre, Se connaître et s'engager / Coopérer en équipe, S'adapter et rebondir</t>
  </si>
  <si>
    <t>Dans ton sport ou ton instrument de musique, tu préfères t'entraîner des heures pour être le plus fort individuellement plutôt que de coordonner toute l'équipe ?</t>
  </si>
  <si>
    <t>Tu répètes le même morceau de guitare pendant deux heures jusqu'à ce que chaque note soit parfaite.</t>
  </si>
  <si>
    <t>Développeur spécialisé (Python, Rust...), Expert Cybersécurité, Data Scientist</t>
  </si>
  <si>
    <t>Bac Général : NSI, Mathématiques, Physique-Chimie. BUT Informatique, Master Informatique.</t>
  </si>
  <si>
    <t>Je m'investis à fond dans un sujet qui me passionne jusqu'à devenir très fort(e).</t>
  </si>
  <si>
    <t>Un sujet te passionne : tu y passes tes week-ends jusqu'à tout maîtriser.</t>
  </si>
  <si>
    <t>Aimes-tu résoudre tout seul un problème technique très difficile jusqu'à trouver la solution complète ?</t>
  </si>
  <si>
    <t>Quand tu as un problème de mathématiques complexe à faire à la maison, tu veux absolument réussir à le faire seul sans demander d'aide ?</t>
  </si>
  <si>
    <t>Tu penses à chercher la réponse à une énigme difficile pendant tout le week-end sans regarder la solution sur Internet.</t>
  </si>
  <si>
    <t>Cryptologue, Analyste Malware, Développeur backend, Chercheur en IA</t>
  </si>
  <si>
    <t>Bac Général : Mathématiques, NSI. Prépas scientifiques, Universités.</t>
  </si>
  <si>
    <t>Je donne le meilleur de moi quand je travaille en équipe.</t>
  </si>
  <si>
    <t>Agréabilité (coopération)</t>
  </si>
  <si>
    <t>En équipe de sport, tu joues mieux quand tu sens que le groupe est soudé.</t>
  </si>
  <si>
    <t>Préféres-tu être la personne référente à qui l'on demande conseil parce qu'elle connaît tout sur un sujet informatique bien précis ?</t>
  </si>
  <si>
    <t>Dans ton groupe d'amis, tu es 'l'encyclopédie' sur un sujet (les jeux vidéo, les mangas) et tout le monde vient te poser des questions ?</t>
  </si>
  <si>
    <t>Tes amis te demandent quelle est la meilleure carte graphique ou la meilleure technique pour un jeu vidéo parce que tu sais tout dessus.</t>
  </si>
  <si>
    <t>Architecte Système, Chief Data Officer, RSSI, Expert Réseau</t>
  </si>
  <si>
    <t>Bac Général : NSI, Mathématiques. Écoles d'Ingénieurs, Masters spécialisés.</t>
  </si>
  <si>
    <t>Je n'aime pas qu'on m'interrompe quand je termine une tâche.</t>
  </si>
  <si>
    <t>Conscienciosité (concentration)</t>
  </si>
  <si>
    <t>Tu détestes qu'on te dérange au moment de finir ton travail.</t>
  </si>
  <si>
    <t>Est-ce que tu préfères te concentrer sur l'écriture d'un code informatique très propre sans être interrompu par des réunions ?</t>
  </si>
  <si>
    <t>Quand tu travailles dans ta chambre, tu mets un casque anti-bruit pour être totalement dans ta bulle ?</t>
  </si>
  <si>
    <t>Tu fermes la porte de ta chambre, mets de la musique calme dans tes écouteurs et fais tes devoirs sans lever la tête pendant deux heures.</t>
  </si>
  <si>
    <t>Développeur Logiciel, Testeur fonctionnel, Ingénieur Firmware</t>
  </si>
  <si>
    <t>Bac Général : NSI, Mathématiques. BTS SIO, BUT Informatique.</t>
  </si>
  <si>
    <t>J'aime aider chacun à trouver sa place dans le groupe.</t>
  </si>
  <si>
    <t>Agréabilité (leadership coopératif)</t>
  </si>
  <si>
    <t>Dans un projet, tu proposes à chacun un rôle qui lui convient.</t>
  </si>
  <si>
    <t>Aimes-tu acquérir des compétences très rares en informatique pour devenir indispensable dans un domaine précis ?</t>
  </si>
  <si>
    <t>Tu aimes apprendre des techniques secrètes ou très rares dans ton passe-temps que presque personne d'autre ne maîtrise ?</t>
  </si>
  <si>
    <t>Tu apprends à résoudre le Rubik's cube en moins de 30 secondes en mémorisant des dizaines de formules compliquées.</t>
  </si>
  <si>
    <t>Ingénieur Cybersécurité, BIM Manager, Machine Learning Engineer</t>
  </si>
  <si>
    <t>Bac Général : NSI, Mathématiques, Physique. Écoles d'Ingénieurs.</t>
  </si>
  <si>
    <t>Je suis prêt(e) à passer des heures à améliorer un petit détail.</t>
  </si>
  <si>
    <t>Conscienciosité (exigence)</t>
  </si>
  <si>
    <t>Tu repasses trois fois sur un dessin pour améliorer un petit détail.</t>
  </si>
  <si>
    <t>Préféres-tu faire en sorte que plusieurs équipes de développeurs et de spécialistes réseau arrivent à travailler ensemble en harmonie ?</t>
  </si>
  <si>
    <t>Dans les travaux de groupe au collège, c'est toujours toi qui répartis le travail et qui vérifies que chacun a bien terminé sa partie ?</t>
  </si>
  <si>
    <t>Tu crées un groupe de discussion sur ton téléphone pour demander à chaque camarade où il en est dans l'exposé d'histoire.</t>
  </si>
  <si>
    <t>Chef de Projet IT, PMO, Directeur de transformation digitale</t>
  </si>
  <si>
    <t>Bac Général : SES, NSI, HGGSP. Écoles de Commerce, BUT MMI.</t>
  </si>
  <si>
    <t>Je ne laisse pas un conflit s'installer dans mon groupe d'amis.</t>
  </si>
  <si>
    <t>Agréabilité (médiation)</t>
  </si>
  <si>
    <t>Quand deux amis se disputent, tu proposes d'en discuter.</t>
  </si>
  <si>
    <t>Est-ce que tu aimes organiser des ateliers participatifs pour faire émerger de nouvelles idées technologiques ?</t>
  </si>
  <si>
    <t>Quand tu es avec tes copains, tu aimes proposer des remue-méninges (brainstorming) pour décider de ce que vous allez faire le week-end ?</t>
  </si>
  <si>
    <t>Tu donnes des feuilles et des feutres à tes amis pour que chacun dessine son idée pour le stand du foyer du collège.</t>
  </si>
  <si>
    <t>Scrum Master, UX Researcher, Product Owner, Coach Agile</t>
  </si>
  <si>
    <t>Bac Général : NSI, SES, HLP. BUT MMI, Masters Management.</t>
  </si>
  <si>
    <t>J'aime qu'on me reconnaisse comme la personne qui sait faire quelque chose de précis.</t>
  </si>
  <si>
    <t>Conscienciosité (reconnaissance de l'expertise)</t>
  </si>
  <si>
    <t>Tes amis disent : « Demande à lui, il sait tout sur ça ».</t>
  </si>
  <si>
    <t>Préféres-tu faire le lien entre les besoins métiers de l'entreprise et les techniciens qui codent le projet ?</t>
  </si>
  <si>
    <t>Tu te sens capable de traduire les demandes des professeurs pour les expliquer de façon simple à tes camarades ?</t>
  </si>
  <si>
    <t>Le professeur donne des consignes complexes : tu les réexpliques avec des mots faciles à ton voisin de table pour l'aider.</t>
  </si>
  <si>
    <t>Consultant fonctionnel, Business Analyst, Product Owner</t>
  </si>
  <si>
    <t>Bac Général : SES, NSI. BTS SIO, BUT Informatique.</t>
  </si>
  <si>
    <t>J'aime organiser les autres pour atteindre un but commun.</t>
  </si>
  <si>
    <t>Extraversion (organisation collective)</t>
  </si>
  <si>
    <t>Pour la kermesse, tu répartis les stands et tu notes qui fait quoi.</t>
  </si>
  <si>
    <t>Aimes-tu faire le pont entre l'équipe qui développe le logiciel et celle qui s'occupe des serveurs (méthode DevOps) ?</t>
  </si>
  <si>
    <t>Pendant un relais en athlétisme, tu aimes t'entraîner pour que le passage de témoin entre coéquipiers se fasse sans perdre une seconde ?</t>
  </si>
  <si>
    <t>Pendant le cours d'EPS, tu répètes la transmission du témoin de course avec ton camarade jusqu'à ce que ce soit fluide.</t>
  </si>
  <si>
    <t>Ingénieur DevOps, DevSecOps, Ingénieur Industrialisation</t>
  </si>
  <si>
    <t>Je suis à l'aise pour faire le lien entre des personnes qui ne se comprennent pas.</t>
  </si>
  <si>
    <t>Tu aides deux camarades qui ne se comprennent pas à se parler.</t>
  </si>
  <si>
    <t>Index</t>
  </si>
  <si>
    <t>Référence</t>
  </si>
  <si>
    <t>20153.jpg</t>
  </si>
  <si>
    <t>Items de personnalité rédigés pour ce projet, inspirés du modèle des cinq facteurs (Big Five : ouverture, conscienciosité, extraversion, agréabilité, stabilité émotionnelle) ; à valider avec un conseiller d'orientation ou un psychologue avant usage.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</si>
</sst>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charset val="1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1"/>
  <sheetViews>
    <sheetView tabSelected="1" topLeftCell="K32" zoomScaleNormal="100" workbookViewId="0"/>
  </sheetViews>
  <sheetFormatPr baseColWidth="10" defaultColWidth="12.6640625" defaultRowHeight="13" x14ac:dyDescent="0.15"/>
  <cols>
    <col min="15" max="15" width="55" customWidth="1"/>
    <col min="16" max="17" width="11" customWidth="1"/>
    <col min="18" max="18" width="12" customWidth="1"/>
    <col min="19" max="19" width="36" customWidth="1"/>
    <col min="20" max="20" width="55" customWidth="1"/>
    <col min="21" max="21" width="12" customWidth="1"/>
  </cols>
  <sheetData>
    <row r="1" spans="1:21" ht="14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30" x14ac:dyDescent="0.15">
      <c r="A2" s="1" t="s">
        <v>21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  <c r="L2" s="1" t="s">
        <v>32</v>
      </c>
      <c r="M2" s="1" t="s">
        <v>33</v>
      </c>
      <c r="N2" s="1" t="s">
        <v>21</v>
      </c>
      <c r="O2" s="2" t="s">
        <v>34</v>
      </c>
      <c r="P2" s="3" t="s">
        <v>24</v>
      </c>
      <c r="Q2" s="3" t="str">
        <f t="shared" ref="Q2:Q33" si="0">IF(P2=D2,F2,D2)</f>
        <v>T</v>
      </c>
      <c r="R2" s="3" t="s">
        <v>35</v>
      </c>
      <c r="S2" s="2" t="s">
        <v>36</v>
      </c>
      <c r="T2" s="2" t="s">
        <v>37</v>
      </c>
      <c r="U2" s="3" t="s">
        <v>38</v>
      </c>
    </row>
    <row r="3" spans="1:21" ht="30" x14ac:dyDescent="0.15">
      <c r="A3" s="1" t="s">
        <v>21</v>
      </c>
      <c r="B3" s="1" t="s">
        <v>22</v>
      </c>
      <c r="C3" s="1" t="s">
        <v>39</v>
      </c>
      <c r="D3" s="1" t="s">
        <v>24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29</v>
      </c>
      <c r="J3" s="1" t="s">
        <v>40</v>
      </c>
      <c r="K3" s="1" t="s">
        <v>41</v>
      </c>
      <c r="L3" s="1" t="s">
        <v>42</v>
      </c>
      <c r="M3" s="1" t="s">
        <v>43</v>
      </c>
      <c r="N3" s="1" t="s">
        <v>21</v>
      </c>
      <c r="O3" s="2" t="s">
        <v>44</v>
      </c>
      <c r="P3" s="3" t="s">
        <v>26</v>
      </c>
      <c r="Q3" s="3" t="str">
        <f t="shared" si="0"/>
        <v>H</v>
      </c>
      <c r="R3" s="3" t="s">
        <v>35</v>
      </c>
      <c r="S3" s="2" t="s">
        <v>45</v>
      </c>
      <c r="T3" s="2" t="s">
        <v>46</v>
      </c>
      <c r="U3" s="3" t="s">
        <v>38</v>
      </c>
    </row>
    <row r="4" spans="1:21" ht="30" x14ac:dyDescent="0.15">
      <c r="A4" s="1" t="s">
        <v>21</v>
      </c>
      <c r="B4" s="1" t="s">
        <v>22</v>
      </c>
      <c r="C4" s="1" t="s">
        <v>47</v>
      </c>
      <c r="D4" s="1" t="s">
        <v>24</v>
      </c>
      <c r="E4" s="1" t="s">
        <v>25</v>
      </c>
      <c r="F4" s="1" t="s">
        <v>26</v>
      </c>
      <c r="G4" s="1" t="s">
        <v>27</v>
      </c>
      <c r="H4" s="1" t="s">
        <v>28</v>
      </c>
      <c r="I4" s="1" t="s">
        <v>29</v>
      </c>
      <c r="J4" s="1" t="s">
        <v>48</v>
      </c>
      <c r="K4" s="1" t="s">
        <v>49</v>
      </c>
      <c r="L4" s="1" t="s">
        <v>50</v>
      </c>
      <c r="M4" s="1" t="s">
        <v>51</v>
      </c>
      <c r="N4" s="1" t="s">
        <v>21</v>
      </c>
      <c r="O4" s="2" t="s">
        <v>52</v>
      </c>
      <c r="P4" s="3" t="s">
        <v>24</v>
      </c>
      <c r="Q4" s="3" t="str">
        <f t="shared" si="0"/>
        <v>T</v>
      </c>
      <c r="R4" s="3" t="s">
        <v>53</v>
      </c>
      <c r="S4" s="2" t="s">
        <v>54</v>
      </c>
      <c r="T4" s="2" t="s">
        <v>55</v>
      </c>
      <c r="U4" s="3" t="s">
        <v>38</v>
      </c>
    </row>
    <row r="5" spans="1:21" ht="30" x14ac:dyDescent="0.15">
      <c r="A5" s="1" t="s">
        <v>21</v>
      </c>
      <c r="B5" s="1" t="s">
        <v>22</v>
      </c>
      <c r="C5" s="1" t="s">
        <v>56</v>
      </c>
      <c r="D5" s="1" t="s">
        <v>24</v>
      </c>
      <c r="E5" s="1" t="s">
        <v>25</v>
      </c>
      <c r="F5" s="1" t="s">
        <v>26</v>
      </c>
      <c r="G5" s="1" t="s">
        <v>27</v>
      </c>
      <c r="H5" s="1" t="s">
        <v>28</v>
      </c>
      <c r="I5" s="1" t="s">
        <v>29</v>
      </c>
      <c r="J5" s="1" t="s">
        <v>57</v>
      </c>
      <c r="K5" s="1" t="s">
        <v>58</v>
      </c>
      <c r="L5" s="1" t="s">
        <v>59</v>
      </c>
      <c r="M5" s="1" t="s">
        <v>60</v>
      </c>
      <c r="N5" s="1" t="s">
        <v>21</v>
      </c>
      <c r="O5" s="2" t="s">
        <v>61</v>
      </c>
      <c r="P5" s="3" t="s">
        <v>26</v>
      </c>
      <c r="Q5" s="3" t="str">
        <f t="shared" si="0"/>
        <v>H</v>
      </c>
      <c r="R5" s="3" t="s">
        <v>35</v>
      </c>
      <c r="S5" s="2" t="s">
        <v>62</v>
      </c>
      <c r="T5" s="2" t="s">
        <v>63</v>
      </c>
      <c r="U5" s="3" t="s">
        <v>38</v>
      </c>
    </row>
    <row r="6" spans="1:21" ht="30" x14ac:dyDescent="0.15">
      <c r="A6" s="1" t="s">
        <v>21</v>
      </c>
      <c r="B6" s="1" t="s">
        <v>22</v>
      </c>
      <c r="C6" s="1" t="s">
        <v>64</v>
      </c>
      <c r="D6" s="1" t="s">
        <v>24</v>
      </c>
      <c r="E6" s="1" t="s">
        <v>25</v>
      </c>
      <c r="F6" s="1" t="s">
        <v>26</v>
      </c>
      <c r="G6" s="1" t="s">
        <v>27</v>
      </c>
      <c r="H6" s="1" t="s">
        <v>28</v>
      </c>
      <c r="I6" s="1" t="s">
        <v>29</v>
      </c>
      <c r="J6" s="1" t="s">
        <v>65</v>
      </c>
      <c r="K6" s="1" t="s">
        <v>66</v>
      </c>
      <c r="L6" s="1" t="s">
        <v>67</v>
      </c>
      <c r="M6" s="1" t="s">
        <v>68</v>
      </c>
      <c r="N6" s="1" t="s">
        <v>21</v>
      </c>
      <c r="O6" s="2" t="s">
        <v>69</v>
      </c>
      <c r="P6" s="3" t="s">
        <v>24</v>
      </c>
      <c r="Q6" s="3" t="str">
        <f t="shared" si="0"/>
        <v>T</v>
      </c>
      <c r="R6" s="3" t="s">
        <v>35</v>
      </c>
      <c r="S6" s="2" t="s">
        <v>70</v>
      </c>
      <c r="T6" s="2" t="s">
        <v>71</v>
      </c>
      <c r="U6" s="3" t="s">
        <v>38</v>
      </c>
    </row>
    <row r="7" spans="1:21" ht="30" x14ac:dyDescent="0.15">
      <c r="A7" s="1" t="s">
        <v>21</v>
      </c>
      <c r="B7" s="1" t="s">
        <v>22</v>
      </c>
      <c r="C7" s="1" t="s">
        <v>72</v>
      </c>
      <c r="D7" s="1" t="s">
        <v>24</v>
      </c>
      <c r="E7" s="1" t="s">
        <v>25</v>
      </c>
      <c r="F7" s="1" t="s">
        <v>26</v>
      </c>
      <c r="G7" s="1" t="s">
        <v>27</v>
      </c>
      <c r="H7" s="1" t="s">
        <v>28</v>
      </c>
      <c r="I7" s="1" t="s">
        <v>29</v>
      </c>
      <c r="J7" s="1" t="s">
        <v>73</v>
      </c>
      <c r="K7" s="1" t="s">
        <v>74</v>
      </c>
      <c r="L7" s="1" t="s">
        <v>75</v>
      </c>
      <c r="M7" s="1" t="s">
        <v>76</v>
      </c>
      <c r="N7" s="1" t="s">
        <v>21</v>
      </c>
      <c r="O7" s="2" t="s">
        <v>77</v>
      </c>
      <c r="P7" s="3" t="s">
        <v>26</v>
      </c>
      <c r="Q7" s="3" t="str">
        <f t="shared" si="0"/>
        <v>H</v>
      </c>
      <c r="R7" s="3" t="s">
        <v>35</v>
      </c>
      <c r="S7" s="2" t="s">
        <v>45</v>
      </c>
      <c r="T7" s="2" t="s">
        <v>78</v>
      </c>
      <c r="U7" s="3" t="s">
        <v>38</v>
      </c>
    </row>
    <row r="8" spans="1:21" ht="30" x14ac:dyDescent="0.15">
      <c r="A8" s="1" t="s">
        <v>21</v>
      </c>
      <c r="B8" s="1" t="s">
        <v>22</v>
      </c>
      <c r="C8" s="1" t="s">
        <v>79</v>
      </c>
      <c r="D8" s="1" t="s">
        <v>24</v>
      </c>
      <c r="E8" s="1" t="s">
        <v>25</v>
      </c>
      <c r="F8" s="1" t="s">
        <v>26</v>
      </c>
      <c r="G8" s="1" t="s">
        <v>27</v>
      </c>
      <c r="H8" s="1" t="s">
        <v>28</v>
      </c>
      <c r="I8" s="1" t="s">
        <v>29</v>
      </c>
      <c r="J8" s="1" t="s">
        <v>80</v>
      </c>
      <c r="K8" s="1" t="s">
        <v>81</v>
      </c>
      <c r="L8" s="1" t="s">
        <v>82</v>
      </c>
      <c r="M8" s="1" t="s">
        <v>83</v>
      </c>
      <c r="N8" s="1" t="s">
        <v>21</v>
      </c>
      <c r="O8" s="2" t="s">
        <v>84</v>
      </c>
      <c r="P8" s="3" t="s">
        <v>24</v>
      </c>
      <c r="Q8" s="3" t="str">
        <f t="shared" si="0"/>
        <v>T</v>
      </c>
      <c r="R8" s="3" t="s">
        <v>35</v>
      </c>
      <c r="S8" s="2" t="s">
        <v>85</v>
      </c>
      <c r="T8" s="2" t="s">
        <v>86</v>
      </c>
      <c r="U8" s="3" t="s">
        <v>38</v>
      </c>
    </row>
    <row r="9" spans="1:21" ht="30" x14ac:dyDescent="0.15">
      <c r="A9" s="1" t="s">
        <v>21</v>
      </c>
      <c r="B9" s="1" t="s">
        <v>22</v>
      </c>
      <c r="C9" s="1" t="s">
        <v>87</v>
      </c>
      <c r="D9" s="1" t="s">
        <v>24</v>
      </c>
      <c r="E9" s="1" t="s">
        <v>25</v>
      </c>
      <c r="F9" s="1" t="s">
        <v>26</v>
      </c>
      <c r="G9" s="1" t="s">
        <v>27</v>
      </c>
      <c r="H9" s="1" t="s">
        <v>28</v>
      </c>
      <c r="I9" s="1" t="s">
        <v>29</v>
      </c>
      <c r="J9" s="1" t="s">
        <v>88</v>
      </c>
      <c r="K9" s="1" t="s">
        <v>89</v>
      </c>
      <c r="L9" s="1" t="s">
        <v>90</v>
      </c>
      <c r="M9" s="1" t="s">
        <v>91</v>
      </c>
      <c r="N9" s="1" t="s">
        <v>21</v>
      </c>
      <c r="O9" s="2" t="s">
        <v>92</v>
      </c>
      <c r="P9" s="3" t="s">
        <v>26</v>
      </c>
      <c r="Q9" s="3" t="str">
        <f t="shared" si="0"/>
        <v>H</v>
      </c>
      <c r="R9" s="3" t="s">
        <v>35</v>
      </c>
      <c r="S9" s="2" t="s">
        <v>93</v>
      </c>
      <c r="T9" s="2" t="s">
        <v>94</v>
      </c>
      <c r="U9" s="3" t="s">
        <v>38</v>
      </c>
    </row>
    <row r="10" spans="1:21" ht="30" x14ac:dyDescent="0.15">
      <c r="A10" s="1" t="s">
        <v>21</v>
      </c>
      <c r="B10" s="1" t="s">
        <v>22</v>
      </c>
      <c r="C10" s="1" t="s">
        <v>95</v>
      </c>
      <c r="D10" s="1" t="s">
        <v>24</v>
      </c>
      <c r="E10" s="1" t="s">
        <v>25</v>
      </c>
      <c r="F10" s="1" t="s">
        <v>26</v>
      </c>
      <c r="G10" s="1" t="s">
        <v>27</v>
      </c>
      <c r="H10" s="1" t="s">
        <v>28</v>
      </c>
      <c r="I10" s="1" t="s">
        <v>29</v>
      </c>
      <c r="J10" s="1" t="s">
        <v>96</v>
      </c>
      <c r="K10" s="1" t="s">
        <v>97</v>
      </c>
      <c r="L10" s="1" t="s">
        <v>98</v>
      </c>
      <c r="M10" s="1" t="s">
        <v>99</v>
      </c>
      <c r="N10" s="1" t="s">
        <v>21</v>
      </c>
      <c r="O10" s="2" t="s">
        <v>100</v>
      </c>
      <c r="P10" s="3" t="s">
        <v>24</v>
      </c>
      <c r="Q10" s="3" t="str">
        <f t="shared" si="0"/>
        <v>T</v>
      </c>
      <c r="R10" s="3" t="s">
        <v>35</v>
      </c>
      <c r="S10" s="2" t="s">
        <v>101</v>
      </c>
      <c r="T10" s="2" t="s">
        <v>102</v>
      </c>
      <c r="U10" s="3" t="s">
        <v>38</v>
      </c>
    </row>
    <row r="11" spans="1:21" ht="30" x14ac:dyDescent="0.15">
      <c r="A11" s="1" t="s">
        <v>21</v>
      </c>
      <c r="B11" s="1" t="s">
        <v>22</v>
      </c>
      <c r="C11" s="1" t="s">
        <v>103</v>
      </c>
      <c r="D11" s="1" t="s">
        <v>24</v>
      </c>
      <c r="E11" s="1" t="s">
        <v>25</v>
      </c>
      <c r="F11" s="1" t="s">
        <v>26</v>
      </c>
      <c r="G11" s="1" t="s">
        <v>27</v>
      </c>
      <c r="H11" s="1" t="s">
        <v>28</v>
      </c>
      <c r="I11" s="1" t="s">
        <v>29</v>
      </c>
      <c r="J11" s="1" t="s">
        <v>104</v>
      </c>
      <c r="K11" s="1" t="s">
        <v>105</v>
      </c>
      <c r="L11" s="1" t="s">
        <v>106</v>
      </c>
      <c r="M11" s="1" t="s">
        <v>107</v>
      </c>
      <c r="N11" s="1" t="s">
        <v>21</v>
      </c>
      <c r="O11" s="2" t="s">
        <v>108</v>
      </c>
      <c r="P11" s="3" t="s">
        <v>26</v>
      </c>
      <c r="Q11" s="3" t="str">
        <f t="shared" si="0"/>
        <v>H</v>
      </c>
      <c r="R11" s="3" t="s">
        <v>53</v>
      </c>
      <c r="S11" s="2" t="s">
        <v>109</v>
      </c>
      <c r="T11" s="2" t="s">
        <v>110</v>
      </c>
      <c r="U11" s="3" t="s">
        <v>38</v>
      </c>
    </row>
    <row r="12" spans="1:21" ht="30" x14ac:dyDescent="0.15">
      <c r="A12" s="1" t="s">
        <v>21</v>
      </c>
      <c r="B12" s="1" t="s">
        <v>22</v>
      </c>
      <c r="C12" s="1" t="s">
        <v>111</v>
      </c>
      <c r="D12" s="1" t="s">
        <v>24</v>
      </c>
      <c r="E12" s="1" t="s">
        <v>25</v>
      </c>
      <c r="F12" s="1" t="s">
        <v>26</v>
      </c>
      <c r="G12" s="1" t="s">
        <v>27</v>
      </c>
      <c r="H12" s="1" t="s">
        <v>28</v>
      </c>
      <c r="I12" s="1" t="s">
        <v>29</v>
      </c>
      <c r="J12" s="1" t="s">
        <v>112</v>
      </c>
      <c r="K12" s="1" t="s">
        <v>113</v>
      </c>
      <c r="L12" s="1" t="s">
        <v>114</v>
      </c>
      <c r="M12" s="1" t="s">
        <v>115</v>
      </c>
      <c r="N12" s="1" t="s">
        <v>21</v>
      </c>
      <c r="O12" s="2" t="s">
        <v>116</v>
      </c>
      <c r="P12" s="3" t="s">
        <v>24</v>
      </c>
      <c r="Q12" s="3" t="str">
        <f t="shared" si="0"/>
        <v>T</v>
      </c>
      <c r="R12" s="3" t="s">
        <v>35</v>
      </c>
      <c r="S12" s="2" t="s">
        <v>117</v>
      </c>
      <c r="T12" s="2" t="s">
        <v>118</v>
      </c>
      <c r="U12" s="3" t="s">
        <v>38</v>
      </c>
    </row>
    <row r="13" spans="1:21" ht="30" x14ac:dyDescent="0.15">
      <c r="A13" s="1" t="s">
        <v>21</v>
      </c>
      <c r="B13" s="1" t="s">
        <v>22</v>
      </c>
      <c r="C13" s="1" t="s">
        <v>119</v>
      </c>
      <c r="D13" s="1" t="s">
        <v>24</v>
      </c>
      <c r="E13" s="1" t="s">
        <v>25</v>
      </c>
      <c r="F13" s="1" t="s">
        <v>26</v>
      </c>
      <c r="G13" s="1" t="s">
        <v>27</v>
      </c>
      <c r="H13" s="1" t="s">
        <v>28</v>
      </c>
      <c r="I13" s="1" t="s">
        <v>29</v>
      </c>
      <c r="J13" s="1" t="s">
        <v>120</v>
      </c>
      <c r="K13" s="1" t="s">
        <v>121</v>
      </c>
      <c r="L13" s="1" t="s">
        <v>122</v>
      </c>
      <c r="M13" s="1" t="s">
        <v>123</v>
      </c>
      <c r="N13" s="1" t="s">
        <v>21</v>
      </c>
      <c r="O13" s="2" t="s">
        <v>124</v>
      </c>
      <c r="P13" s="3" t="s">
        <v>26</v>
      </c>
      <c r="Q13" s="3" t="str">
        <f t="shared" si="0"/>
        <v>H</v>
      </c>
      <c r="R13" s="3" t="s">
        <v>35</v>
      </c>
      <c r="S13" s="2" t="s">
        <v>125</v>
      </c>
      <c r="T13" s="2" t="s">
        <v>126</v>
      </c>
      <c r="U13" s="3" t="s">
        <v>38</v>
      </c>
    </row>
    <row r="14" spans="1:21" ht="30" x14ac:dyDescent="0.15">
      <c r="A14" s="1" t="s">
        <v>21</v>
      </c>
      <c r="B14" s="1" t="s">
        <v>22</v>
      </c>
      <c r="C14" s="1" t="s">
        <v>127</v>
      </c>
      <c r="D14" s="1" t="s">
        <v>24</v>
      </c>
      <c r="E14" s="1" t="s">
        <v>25</v>
      </c>
      <c r="F14" s="1" t="s">
        <v>26</v>
      </c>
      <c r="G14" s="1" t="s">
        <v>27</v>
      </c>
      <c r="H14" s="1" t="s">
        <v>28</v>
      </c>
      <c r="I14" s="1" t="s">
        <v>29</v>
      </c>
      <c r="J14" s="1" t="s">
        <v>128</v>
      </c>
      <c r="K14" s="1" t="s">
        <v>129</v>
      </c>
      <c r="L14" s="1" t="s">
        <v>130</v>
      </c>
      <c r="M14" s="1" t="s">
        <v>131</v>
      </c>
      <c r="N14" s="1" t="s">
        <v>21</v>
      </c>
      <c r="O14" s="2" t="s">
        <v>132</v>
      </c>
      <c r="P14" s="3" t="s">
        <v>24</v>
      </c>
      <c r="Q14" s="3" t="str">
        <f t="shared" si="0"/>
        <v>T</v>
      </c>
      <c r="R14" s="3" t="s">
        <v>35</v>
      </c>
      <c r="S14" s="2" t="s">
        <v>133</v>
      </c>
      <c r="T14" s="2" t="s">
        <v>134</v>
      </c>
      <c r="U14" s="3" t="s">
        <v>38</v>
      </c>
    </row>
    <row r="15" spans="1:21" ht="30" x14ac:dyDescent="0.15">
      <c r="A15" s="1" t="s">
        <v>21</v>
      </c>
      <c r="B15" s="1" t="s">
        <v>22</v>
      </c>
      <c r="C15" s="1" t="s">
        <v>135</v>
      </c>
      <c r="D15" s="1" t="s">
        <v>24</v>
      </c>
      <c r="E15" s="1" t="s">
        <v>25</v>
      </c>
      <c r="F15" s="1" t="s">
        <v>26</v>
      </c>
      <c r="G15" s="1" t="s">
        <v>27</v>
      </c>
      <c r="H15" s="1" t="s">
        <v>28</v>
      </c>
      <c r="I15" s="1" t="s">
        <v>29</v>
      </c>
      <c r="J15" s="1" t="s">
        <v>136</v>
      </c>
      <c r="K15" s="1" t="s">
        <v>137</v>
      </c>
      <c r="L15" s="1" t="s">
        <v>138</v>
      </c>
      <c r="M15" s="1" t="s">
        <v>139</v>
      </c>
      <c r="N15" s="1" t="s">
        <v>21</v>
      </c>
      <c r="O15" s="2" t="s">
        <v>140</v>
      </c>
      <c r="P15" s="3" t="s">
        <v>26</v>
      </c>
      <c r="Q15" s="3" t="str">
        <f t="shared" si="0"/>
        <v>H</v>
      </c>
      <c r="R15" s="3" t="s">
        <v>35</v>
      </c>
      <c r="S15" s="2" t="s">
        <v>141</v>
      </c>
      <c r="T15" s="2" t="s">
        <v>142</v>
      </c>
      <c r="U15" s="3" t="s">
        <v>38</v>
      </c>
    </row>
    <row r="16" spans="1:21" ht="30" x14ac:dyDescent="0.15">
      <c r="A16" s="1" t="s">
        <v>38</v>
      </c>
      <c r="B16" s="1" t="s">
        <v>143</v>
      </c>
      <c r="C16" s="1" t="s">
        <v>144</v>
      </c>
      <c r="D16" s="1" t="s">
        <v>145</v>
      </c>
      <c r="E16" s="1" t="s">
        <v>146</v>
      </c>
      <c r="F16" s="1" t="s">
        <v>147</v>
      </c>
      <c r="G16" s="1" t="s">
        <v>148</v>
      </c>
      <c r="H16" s="1" t="s">
        <v>149</v>
      </c>
      <c r="I16" s="1" t="s">
        <v>150</v>
      </c>
      <c r="J16" s="1" t="s">
        <v>151</v>
      </c>
      <c r="K16" s="1" t="s">
        <v>152</v>
      </c>
      <c r="L16" s="1" t="s">
        <v>153</v>
      </c>
      <c r="M16" s="1" t="s">
        <v>154</v>
      </c>
      <c r="N16" s="1" t="s">
        <v>21</v>
      </c>
      <c r="O16" s="2" t="s">
        <v>155</v>
      </c>
      <c r="P16" s="3" t="s">
        <v>145</v>
      </c>
      <c r="Q16" s="3" t="str">
        <f t="shared" si="0"/>
        <v>F</v>
      </c>
      <c r="R16" s="3" t="s">
        <v>35</v>
      </c>
      <c r="S16" s="2" t="s">
        <v>156</v>
      </c>
      <c r="T16" s="2" t="s">
        <v>157</v>
      </c>
      <c r="U16" s="3" t="s">
        <v>38</v>
      </c>
    </row>
    <row r="17" spans="1:21" ht="30" x14ac:dyDescent="0.15">
      <c r="A17" s="1" t="s">
        <v>38</v>
      </c>
      <c r="B17" s="1" t="s">
        <v>143</v>
      </c>
      <c r="C17" s="1" t="s">
        <v>158</v>
      </c>
      <c r="D17" s="1" t="s">
        <v>145</v>
      </c>
      <c r="E17" s="1" t="s">
        <v>146</v>
      </c>
      <c r="F17" s="1" t="s">
        <v>147</v>
      </c>
      <c r="G17" s="1" t="s">
        <v>148</v>
      </c>
      <c r="H17" s="1" t="s">
        <v>149</v>
      </c>
      <c r="I17" s="1" t="s">
        <v>150</v>
      </c>
      <c r="J17" s="1" t="s">
        <v>159</v>
      </c>
      <c r="K17" s="1" t="s">
        <v>160</v>
      </c>
      <c r="L17" s="1" t="s">
        <v>161</v>
      </c>
      <c r="M17" s="1" t="s">
        <v>162</v>
      </c>
      <c r="N17" s="1" t="s">
        <v>21</v>
      </c>
      <c r="O17" s="2" t="s">
        <v>163</v>
      </c>
      <c r="P17" s="3" t="s">
        <v>147</v>
      </c>
      <c r="Q17" s="3" t="str">
        <f t="shared" si="0"/>
        <v>I</v>
      </c>
      <c r="R17" s="3" t="s">
        <v>35</v>
      </c>
      <c r="S17" s="2" t="s">
        <v>164</v>
      </c>
      <c r="T17" s="2" t="s">
        <v>165</v>
      </c>
      <c r="U17" s="3" t="s">
        <v>38</v>
      </c>
    </row>
    <row r="18" spans="1:21" ht="30" x14ac:dyDescent="0.15">
      <c r="A18" s="1" t="s">
        <v>38</v>
      </c>
      <c r="B18" s="1" t="s">
        <v>143</v>
      </c>
      <c r="C18" s="1" t="s">
        <v>166</v>
      </c>
      <c r="D18" s="1" t="s">
        <v>145</v>
      </c>
      <c r="E18" s="1" t="s">
        <v>146</v>
      </c>
      <c r="F18" s="1" t="s">
        <v>147</v>
      </c>
      <c r="G18" s="1" t="s">
        <v>148</v>
      </c>
      <c r="H18" s="1" t="s">
        <v>149</v>
      </c>
      <c r="I18" s="1" t="s">
        <v>150</v>
      </c>
      <c r="J18" s="1" t="s">
        <v>167</v>
      </c>
      <c r="K18" s="1" t="s">
        <v>168</v>
      </c>
      <c r="L18" s="1" t="s">
        <v>169</v>
      </c>
      <c r="M18" s="1" t="s">
        <v>170</v>
      </c>
      <c r="N18" s="1" t="s">
        <v>21</v>
      </c>
      <c r="O18" s="2" t="s">
        <v>171</v>
      </c>
      <c r="P18" s="3" t="s">
        <v>145</v>
      </c>
      <c r="Q18" s="3" t="str">
        <f t="shared" si="0"/>
        <v>F</v>
      </c>
      <c r="R18" s="3" t="s">
        <v>53</v>
      </c>
      <c r="S18" s="2" t="s">
        <v>172</v>
      </c>
      <c r="T18" s="2" t="s">
        <v>173</v>
      </c>
      <c r="U18" s="3" t="s">
        <v>38</v>
      </c>
    </row>
    <row r="19" spans="1:21" ht="30" x14ac:dyDescent="0.15">
      <c r="A19" s="1" t="s">
        <v>38</v>
      </c>
      <c r="B19" s="1" t="s">
        <v>143</v>
      </c>
      <c r="C19" s="1" t="s">
        <v>174</v>
      </c>
      <c r="D19" s="1" t="s">
        <v>145</v>
      </c>
      <c r="E19" s="1" t="s">
        <v>146</v>
      </c>
      <c r="F19" s="1" t="s">
        <v>147</v>
      </c>
      <c r="G19" s="1" t="s">
        <v>148</v>
      </c>
      <c r="H19" s="1" t="s">
        <v>149</v>
      </c>
      <c r="I19" s="1" t="s">
        <v>150</v>
      </c>
      <c r="J19" s="1" t="s">
        <v>175</v>
      </c>
      <c r="K19" s="1" t="s">
        <v>176</v>
      </c>
      <c r="L19" s="1" t="s">
        <v>177</v>
      </c>
      <c r="M19" s="1" t="s">
        <v>178</v>
      </c>
      <c r="N19" s="1" t="s">
        <v>21</v>
      </c>
      <c r="O19" s="2" t="s">
        <v>179</v>
      </c>
      <c r="P19" s="3" t="s">
        <v>147</v>
      </c>
      <c r="Q19" s="3" t="str">
        <f t="shared" si="0"/>
        <v>I</v>
      </c>
      <c r="R19" s="3" t="s">
        <v>35</v>
      </c>
      <c r="S19" s="2" t="s">
        <v>180</v>
      </c>
      <c r="T19" s="2" t="s">
        <v>181</v>
      </c>
      <c r="U19" s="3" t="s">
        <v>38</v>
      </c>
    </row>
    <row r="20" spans="1:21" ht="30" x14ac:dyDescent="0.15">
      <c r="A20" s="1" t="s">
        <v>38</v>
      </c>
      <c r="B20" s="1" t="s">
        <v>143</v>
      </c>
      <c r="C20" s="1" t="s">
        <v>182</v>
      </c>
      <c r="D20" s="1" t="s">
        <v>145</v>
      </c>
      <c r="E20" s="1" t="s">
        <v>146</v>
      </c>
      <c r="F20" s="1" t="s">
        <v>147</v>
      </c>
      <c r="G20" s="1" t="s">
        <v>148</v>
      </c>
      <c r="H20" s="1" t="s">
        <v>149</v>
      </c>
      <c r="I20" s="1" t="s">
        <v>150</v>
      </c>
      <c r="J20" s="1" t="s">
        <v>183</v>
      </c>
      <c r="K20" s="1" t="s">
        <v>184</v>
      </c>
      <c r="L20" s="1" t="s">
        <v>185</v>
      </c>
      <c r="M20" s="1" t="s">
        <v>186</v>
      </c>
      <c r="N20" s="1" t="s">
        <v>21</v>
      </c>
      <c r="O20" s="2" t="s">
        <v>187</v>
      </c>
      <c r="P20" s="3" t="s">
        <v>145</v>
      </c>
      <c r="Q20" s="3" t="str">
        <f t="shared" si="0"/>
        <v>F</v>
      </c>
      <c r="R20" s="3" t="s">
        <v>35</v>
      </c>
      <c r="S20" s="2" t="s">
        <v>188</v>
      </c>
      <c r="T20" s="2" t="s">
        <v>189</v>
      </c>
      <c r="U20" s="3" t="s">
        <v>38</v>
      </c>
    </row>
    <row r="21" spans="1:21" ht="30" x14ac:dyDescent="0.15">
      <c r="A21" s="1" t="s">
        <v>38</v>
      </c>
      <c r="B21" s="1" t="s">
        <v>143</v>
      </c>
      <c r="C21" s="1" t="s">
        <v>190</v>
      </c>
      <c r="D21" s="1" t="s">
        <v>145</v>
      </c>
      <c r="E21" s="1" t="s">
        <v>146</v>
      </c>
      <c r="F21" s="1" t="s">
        <v>147</v>
      </c>
      <c r="G21" s="1" t="s">
        <v>148</v>
      </c>
      <c r="H21" s="1" t="s">
        <v>149</v>
      </c>
      <c r="I21" s="1" t="s">
        <v>150</v>
      </c>
      <c r="J21" s="1" t="s">
        <v>191</v>
      </c>
      <c r="K21" s="1" t="s">
        <v>192</v>
      </c>
      <c r="L21" s="1" t="s">
        <v>193</v>
      </c>
      <c r="M21" s="1" t="s">
        <v>194</v>
      </c>
      <c r="N21" s="1" t="s">
        <v>21</v>
      </c>
      <c r="O21" s="2" t="s">
        <v>195</v>
      </c>
      <c r="P21" s="3" t="s">
        <v>147</v>
      </c>
      <c r="Q21" s="3" t="str">
        <f t="shared" si="0"/>
        <v>I</v>
      </c>
      <c r="R21" s="3" t="s">
        <v>35</v>
      </c>
      <c r="S21" s="2" t="s">
        <v>196</v>
      </c>
      <c r="T21" s="2" t="s">
        <v>197</v>
      </c>
      <c r="U21" s="3" t="s">
        <v>38</v>
      </c>
    </row>
    <row r="22" spans="1:21" ht="30" x14ac:dyDescent="0.15">
      <c r="A22" s="1" t="s">
        <v>38</v>
      </c>
      <c r="B22" s="1" t="s">
        <v>143</v>
      </c>
      <c r="C22" s="1" t="s">
        <v>198</v>
      </c>
      <c r="D22" s="1" t="s">
        <v>145</v>
      </c>
      <c r="E22" s="1" t="s">
        <v>146</v>
      </c>
      <c r="F22" s="1" t="s">
        <v>147</v>
      </c>
      <c r="G22" s="1" t="s">
        <v>148</v>
      </c>
      <c r="H22" s="1" t="s">
        <v>149</v>
      </c>
      <c r="I22" s="1" t="s">
        <v>150</v>
      </c>
      <c r="J22" s="1" t="s">
        <v>199</v>
      </c>
      <c r="K22" s="1" t="s">
        <v>200</v>
      </c>
      <c r="L22" s="1" t="s">
        <v>201</v>
      </c>
      <c r="M22" s="1" t="s">
        <v>202</v>
      </c>
      <c r="N22" s="1" t="s">
        <v>21</v>
      </c>
      <c r="O22" s="2" t="s">
        <v>203</v>
      </c>
      <c r="P22" s="3" t="s">
        <v>145</v>
      </c>
      <c r="Q22" s="3" t="str">
        <f t="shared" si="0"/>
        <v>F</v>
      </c>
      <c r="R22" s="3" t="s">
        <v>35</v>
      </c>
      <c r="S22" s="2" t="s">
        <v>204</v>
      </c>
      <c r="T22" s="2" t="s">
        <v>205</v>
      </c>
      <c r="U22" s="3" t="s">
        <v>38</v>
      </c>
    </row>
    <row r="23" spans="1:21" ht="30" x14ac:dyDescent="0.15">
      <c r="A23" s="1" t="s">
        <v>38</v>
      </c>
      <c r="B23" s="1" t="s">
        <v>143</v>
      </c>
      <c r="C23" s="1" t="s">
        <v>206</v>
      </c>
      <c r="D23" s="1" t="s">
        <v>145</v>
      </c>
      <c r="E23" s="1" t="s">
        <v>146</v>
      </c>
      <c r="F23" s="1" t="s">
        <v>147</v>
      </c>
      <c r="G23" s="1" t="s">
        <v>148</v>
      </c>
      <c r="H23" s="1" t="s">
        <v>149</v>
      </c>
      <c r="I23" s="1" t="s">
        <v>150</v>
      </c>
      <c r="J23" s="1" t="s">
        <v>207</v>
      </c>
      <c r="K23" s="1" t="s">
        <v>208</v>
      </c>
      <c r="L23" s="1" t="s">
        <v>209</v>
      </c>
      <c r="M23" s="1" t="s">
        <v>210</v>
      </c>
      <c r="N23" s="1" t="s">
        <v>21</v>
      </c>
      <c r="O23" s="2" t="s">
        <v>211</v>
      </c>
      <c r="P23" s="3" t="s">
        <v>147</v>
      </c>
      <c r="Q23" s="3" t="str">
        <f t="shared" si="0"/>
        <v>I</v>
      </c>
      <c r="R23" s="3" t="s">
        <v>35</v>
      </c>
      <c r="S23" s="2" t="s">
        <v>212</v>
      </c>
      <c r="T23" s="2" t="s">
        <v>213</v>
      </c>
      <c r="U23" s="3" t="s">
        <v>38</v>
      </c>
    </row>
    <row r="24" spans="1:21" ht="30" x14ac:dyDescent="0.15">
      <c r="A24" s="1" t="s">
        <v>38</v>
      </c>
      <c r="B24" s="1" t="s">
        <v>143</v>
      </c>
      <c r="C24" s="1" t="s">
        <v>214</v>
      </c>
      <c r="D24" s="1" t="s">
        <v>145</v>
      </c>
      <c r="E24" s="1" t="s">
        <v>146</v>
      </c>
      <c r="F24" s="1" t="s">
        <v>147</v>
      </c>
      <c r="G24" s="1" t="s">
        <v>148</v>
      </c>
      <c r="H24" s="1" t="s">
        <v>149</v>
      </c>
      <c r="I24" s="1" t="s">
        <v>150</v>
      </c>
      <c r="J24" s="1" t="s">
        <v>215</v>
      </c>
      <c r="K24" s="1" t="s">
        <v>216</v>
      </c>
      <c r="L24" s="1" t="s">
        <v>217</v>
      </c>
      <c r="M24" s="1" t="s">
        <v>218</v>
      </c>
      <c r="N24" s="1" t="s">
        <v>21</v>
      </c>
      <c r="O24" s="2" t="s">
        <v>219</v>
      </c>
      <c r="P24" s="3" t="s">
        <v>145</v>
      </c>
      <c r="Q24" s="3" t="str">
        <f t="shared" si="0"/>
        <v>F</v>
      </c>
      <c r="R24" s="3" t="s">
        <v>35</v>
      </c>
      <c r="S24" s="2" t="s">
        <v>220</v>
      </c>
      <c r="T24" s="2" t="s">
        <v>221</v>
      </c>
      <c r="U24" s="3" t="s">
        <v>38</v>
      </c>
    </row>
    <row r="25" spans="1:21" ht="30" x14ac:dyDescent="0.15">
      <c r="A25" s="1" t="s">
        <v>38</v>
      </c>
      <c r="B25" s="1" t="s">
        <v>143</v>
      </c>
      <c r="C25" s="1" t="s">
        <v>222</v>
      </c>
      <c r="D25" s="1" t="s">
        <v>145</v>
      </c>
      <c r="E25" s="1" t="s">
        <v>146</v>
      </c>
      <c r="F25" s="1" t="s">
        <v>147</v>
      </c>
      <c r="G25" s="1" t="s">
        <v>148</v>
      </c>
      <c r="H25" s="1" t="s">
        <v>149</v>
      </c>
      <c r="I25" s="1" t="s">
        <v>150</v>
      </c>
      <c r="J25" s="1" t="s">
        <v>223</v>
      </c>
      <c r="K25" s="1" t="s">
        <v>224</v>
      </c>
      <c r="L25" s="1" t="s">
        <v>225</v>
      </c>
      <c r="M25" s="1" t="s">
        <v>226</v>
      </c>
      <c r="N25" s="1" t="s">
        <v>21</v>
      </c>
      <c r="O25" s="2" t="s">
        <v>227</v>
      </c>
      <c r="P25" s="3" t="s">
        <v>147</v>
      </c>
      <c r="Q25" s="3" t="str">
        <f t="shared" si="0"/>
        <v>I</v>
      </c>
      <c r="R25" s="3" t="s">
        <v>35</v>
      </c>
      <c r="S25" s="2" t="s">
        <v>228</v>
      </c>
      <c r="T25" s="2" t="s">
        <v>229</v>
      </c>
      <c r="U25" s="3" t="s">
        <v>38</v>
      </c>
    </row>
    <row r="26" spans="1:21" ht="30" x14ac:dyDescent="0.15">
      <c r="A26" s="1" t="s">
        <v>38</v>
      </c>
      <c r="B26" s="1" t="s">
        <v>143</v>
      </c>
      <c r="C26" s="1" t="s">
        <v>230</v>
      </c>
      <c r="D26" s="1" t="s">
        <v>145</v>
      </c>
      <c r="E26" s="1" t="s">
        <v>146</v>
      </c>
      <c r="F26" s="1" t="s">
        <v>147</v>
      </c>
      <c r="G26" s="1" t="s">
        <v>148</v>
      </c>
      <c r="H26" s="1" t="s">
        <v>149</v>
      </c>
      <c r="I26" s="1" t="s">
        <v>150</v>
      </c>
      <c r="J26" s="1" t="s">
        <v>231</v>
      </c>
      <c r="K26" s="1" t="s">
        <v>232</v>
      </c>
      <c r="L26" s="1" t="s">
        <v>233</v>
      </c>
      <c r="M26" s="1" t="s">
        <v>234</v>
      </c>
      <c r="N26" s="1" t="s">
        <v>21</v>
      </c>
      <c r="O26" s="2" t="s">
        <v>235</v>
      </c>
      <c r="P26" s="3" t="s">
        <v>145</v>
      </c>
      <c r="Q26" s="3" t="str">
        <f t="shared" si="0"/>
        <v>F</v>
      </c>
      <c r="R26" s="3" t="s">
        <v>35</v>
      </c>
      <c r="S26" s="2" t="s">
        <v>236</v>
      </c>
      <c r="T26" s="2" t="s">
        <v>237</v>
      </c>
      <c r="U26" s="3" t="s">
        <v>38</v>
      </c>
    </row>
    <row r="27" spans="1:21" ht="30" x14ac:dyDescent="0.15">
      <c r="A27" s="1" t="s">
        <v>38</v>
      </c>
      <c r="B27" s="1" t="s">
        <v>143</v>
      </c>
      <c r="C27" s="1" t="s">
        <v>238</v>
      </c>
      <c r="D27" s="1" t="s">
        <v>145</v>
      </c>
      <c r="E27" s="1" t="s">
        <v>146</v>
      </c>
      <c r="F27" s="1" t="s">
        <v>147</v>
      </c>
      <c r="G27" s="1" t="s">
        <v>148</v>
      </c>
      <c r="H27" s="1" t="s">
        <v>149</v>
      </c>
      <c r="I27" s="1" t="s">
        <v>150</v>
      </c>
      <c r="J27" s="1" t="s">
        <v>239</v>
      </c>
      <c r="K27" s="1" t="s">
        <v>240</v>
      </c>
      <c r="L27" s="1" t="s">
        <v>241</v>
      </c>
      <c r="M27" s="1" t="s">
        <v>242</v>
      </c>
      <c r="N27" s="1" t="s">
        <v>21</v>
      </c>
      <c r="O27" s="2" t="s">
        <v>243</v>
      </c>
      <c r="P27" s="3" t="s">
        <v>147</v>
      </c>
      <c r="Q27" s="3" t="str">
        <f t="shared" si="0"/>
        <v>I</v>
      </c>
      <c r="R27" s="3" t="s">
        <v>53</v>
      </c>
      <c r="S27" s="2" t="s">
        <v>244</v>
      </c>
      <c r="T27" s="2" t="s">
        <v>245</v>
      </c>
      <c r="U27" s="3" t="s">
        <v>38</v>
      </c>
    </row>
    <row r="28" spans="1:21" ht="30" x14ac:dyDescent="0.15">
      <c r="A28" s="1" t="s">
        <v>38</v>
      </c>
      <c r="B28" s="1" t="s">
        <v>143</v>
      </c>
      <c r="C28" s="1" t="s">
        <v>246</v>
      </c>
      <c r="D28" s="1" t="s">
        <v>145</v>
      </c>
      <c r="E28" s="1" t="s">
        <v>146</v>
      </c>
      <c r="F28" s="1" t="s">
        <v>147</v>
      </c>
      <c r="G28" s="1" t="s">
        <v>148</v>
      </c>
      <c r="H28" s="1" t="s">
        <v>149</v>
      </c>
      <c r="I28" s="1" t="s">
        <v>150</v>
      </c>
      <c r="J28" s="1" t="s">
        <v>247</v>
      </c>
      <c r="K28" s="1" t="s">
        <v>248</v>
      </c>
      <c r="L28" s="1" t="s">
        <v>249</v>
      </c>
      <c r="M28" s="1" t="s">
        <v>250</v>
      </c>
      <c r="N28" s="1" t="s">
        <v>21</v>
      </c>
      <c r="O28" s="2" t="s">
        <v>251</v>
      </c>
      <c r="P28" s="3" t="s">
        <v>145</v>
      </c>
      <c r="Q28" s="3" t="str">
        <f t="shared" si="0"/>
        <v>F</v>
      </c>
      <c r="R28" s="3" t="s">
        <v>35</v>
      </c>
      <c r="S28" s="2" t="s">
        <v>252</v>
      </c>
      <c r="T28" s="2" t="s">
        <v>253</v>
      </c>
      <c r="U28" s="3" t="s">
        <v>38</v>
      </c>
    </row>
    <row r="29" spans="1:21" ht="15" x14ac:dyDescent="0.15">
      <c r="A29" s="1" t="s">
        <v>38</v>
      </c>
      <c r="B29" s="1" t="s">
        <v>143</v>
      </c>
      <c r="C29" s="1" t="s">
        <v>254</v>
      </c>
      <c r="D29" s="1" t="s">
        <v>145</v>
      </c>
      <c r="E29" s="1" t="s">
        <v>146</v>
      </c>
      <c r="F29" s="1" t="s">
        <v>147</v>
      </c>
      <c r="G29" s="1" t="s">
        <v>148</v>
      </c>
      <c r="H29" s="1" t="s">
        <v>149</v>
      </c>
      <c r="I29" s="1" t="s">
        <v>150</v>
      </c>
      <c r="J29" s="1" t="s">
        <v>255</v>
      </c>
      <c r="K29" s="1" t="s">
        <v>256</v>
      </c>
      <c r="L29" s="1" t="s">
        <v>257</v>
      </c>
      <c r="M29" s="1" t="s">
        <v>258</v>
      </c>
      <c r="N29" s="1" t="s">
        <v>21</v>
      </c>
      <c r="O29" s="2" t="s">
        <v>259</v>
      </c>
      <c r="P29" s="3" t="s">
        <v>147</v>
      </c>
      <c r="Q29" s="3" t="str">
        <f t="shared" si="0"/>
        <v>I</v>
      </c>
      <c r="R29" s="3" t="s">
        <v>35</v>
      </c>
      <c r="S29" s="2" t="s">
        <v>260</v>
      </c>
      <c r="T29" s="2" t="s">
        <v>261</v>
      </c>
      <c r="U29" s="3" t="s">
        <v>38</v>
      </c>
    </row>
    <row r="30" spans="1:21" ht="30" x14ac:dyDescent="0.15">
      <c r="A30" s="1" t="s">
        <v>262</v>
      </c>
      <c r="B30" s="1" t="s">
        <v>263</v>
      </c>
      <c r="C30" s="1" t="s">
        <v>264</v>
      </c>
      <c r="D30" s="1" t="s">
        <v>265</v>
      </c>
      <c r="E30" s="1" t="s">
        <v>266</v>
      </c>
      <c r="F30" s="1" t="s">
        <v>267</v>
      </c>
      <c r="G30" s="1" t="s">
        <v>268</v>
      </c>
      <c r="H30" s="1" t="s">
        <v>269</v>
      </c>
      <c r="I30" s="1" t="s">
        <v>270</v>
      </c>
      <c r="J30" s="1" t="s">
        <v>271</v>
      </c>
      <c r="K30" s="1" t="s">
        <v>272</v>
      </c>
      <c r="L30" s="1" t="s">
        <v>273</v>
      </c>
      <c r="M30" s="1" t="s">
        <v>274</v>
      </c>
      <c r="N30" s="1" t="s">
        <v>21</v>
      </c>
      <c r="O30" s="2" t="s">
        <v>275</v>
      </c>
      <c r="P30" s="3" t="s">
        <v>265</v>
      </c>
      <c r="Q30" s="3" t="str">
        <f t="shared" si="0"/>
        <v>C</v>
      </c>
      <c r="R30" s="3" t="s">
        <v>53</v>
      </c>
      <c r="S30" s="2" t="s">
        <v>276</v>
      </c>
      <c r="T30" s="2" t="s">
        <v>277</v>
      </c>
      <c r="U30" s="3" t="s">
        <v>38</v>
      </c>
    </row>
    <row r="31" spans="1:21" ht="30" x14ac:dyDescent="0.15">
      <c r="A31" s="1" t="s">
        <v>262</v>
      </c>
      <c r="B31" s="1" t="s">
        <v>263</v>
      </c>
      <c r="C31" s="1" t="s">
        <v>278</v>
      </c>
      <c r="D31" s="1" t="s">
        <v>265</v>
      </c>
      <c r="E31" s="1" t="s">
        <v>266</v>
      </c>
      <c r="F31" s="1" t="s">
        <v>267</v>
      </c>
      <c r="G31" s="1" t="s">
        <v>268</v>
      </c>
      <c r="H31" s="1" t="s">
        <v>269</v>
      </c>
      <c r="I31" s="1" t="s">
        <v>270</v>
      </c>
      <c r="J31" s="1" t="s">
        <v>279</v>
      </c>
      <c r="K31" s="1" t="s">
        <v>280</v>
      </c>
      <c r="L31" s="1" t="s">
        <v>281</v>
      </c>
      <c r="M31" s="1" t="s">
        <v>282</v>
      </c>
      <c r="N31" s="1" t="s">
        <v>21</v>
      </c>
      <c r="O31" s="2" t="s">
        <v>283</v>
      </c>
      <c r="P31" s="3" t="s">
        <v>267</v>
      </c>
      <c r="Q31" s="3" t="str">
        <f t="shared" si="0"/>
        <v>V</v>
      </c>
      <c r="R31" s="3" t="s">
        <v>35</v>
      </c>
      <c r="S31" s="2" t="s">
        <v>284</v>
      </c>
      <c r="T31" s="2" t="s">
        <v>285</v>
      </c>
      <c r="U31" s="3" t="s">
        <v>38</v>
      </c>
    </row>
    <row r="32" spans="1:21" ht="30" x14ac:dyDescent="0.15">
      <c r="A32" s="1" t="s">
        <v>262</v>
      </c>
      <c r="B32" s="1" t="s">
        <v>263</v>
      </c>
      <c r="C32" s="1" t="s">
        <v>286</v>
      </c>
      <c r="D32" s="1" t="s">
        <v>265</v>
      </c>
      <c r="E32" s="1" t="s">
        <v>266</v>
      </c>
      <c r="F32" s="1" t="s">
        <v>267</v>
      </c>
      <c r="G32" s="1" t="s">
        <v>268</v>
      </c>
      <c r="H32" s="1" t="s">
        <v>269</v>
      </c>
      <c r="I32" s="1" t="s">
        <v>270</v>
      </c>
      <c r="J32" s="1" t="s">
        <v>287</v>
      </c>
      <c r="K32" s="1" t="s">
        <v>288</v>
      </c>
      <c r="L32" s="1" t="s">
        <v>289</v>
      </c>
      <c r="M32" s="1" t="s">
        <v>290</v>
      </c>
      <c r="N32" s="1" t="s">
        <v>21</v>
      </c>
      <c r="O32" s="2" t="s">
        <v>291</v>
      </c>
      <c r="P32" s="3" t="s">
        <v>265</v>
      </c>
      <c r="Q32" s="3" t="str">
        <f t="shared" si="0"/>
        <v>C</v>
      </c>
      <c r="R32" s="3" t="s">
        <v>35</v>
      </c>
      <c r="S32" s="2" t="s">
        <v>292</v>
      </c>
      <c r="T32" s="2" t="s">
        <v>293</v>
      </c>
      <c r="U32" s="3" t="s">
        <v>38</v>
      </c>
    </row>
    <row r="33" spans="1:21" ht="30" x14ac:dyDescent="0.15">
      <c r="A33" s="1" t="s">
        <v>262</v>
      </c>
      <c r="B33" s="1" t="s">
        <v>263</v>
      </c>
      <c r="C33" s="1" t="s">
        <v>294</v>
      </c>
      <c r="D33" s="1" t="s">
        <v>265</v>
      </c>
      <c r="E33" s="1" t="s">
        <v>266</v>
      </c>
      <c r="F33" s="1" t="s">
        <v>267</v>
      </c>
      <c r="G33" s="1" t="s">
        <v>268</v>
      </c>
      <c r="H33" s="1" t="s">
        <v>269</v>
      </c>
      <c r="I33" s="1" t="s">
        <v>270</v>
      </c>
      <c r="J33" s="1" t="s">
        <v>295</v>
      </c>
      <c r="K33" s="1" t="s">
        <v>296</v>
      </c>
      <c r="L33" s="1" t="s">
        <v>297</v>
      </c>
      <c r="M33" s="1" t="s">
        <v>298</v>
      </c>
      <c r="N33" s="1" t="s">
        <v>21</v>
      </c>
      <c r="O33" s="2" t="s">
        <v>299</v>
      </c>
      <c r="P33" s="3" t="s">
        <v>267</v>
      </c>
      <c r="Q33" s="3" t="str">
        <f t="shared" si="0"/>
        <v>V</v>
      </c>
      <c r="R33" s="3" t="s">
        <v>35</v>
      </c>
      <c r="S33" s="2" t="s">
        <v>300</v>
      </c>
      <c r="T33" s="2" t="s">
        <v>301</v>
      </c>
      <c r="U33" s="3" t="s">
        <v>38</v>
      </c>
    </row>
    <row r="34" spans="1:21" ht="30" x14ac:dyDescent="0.15">
      <c r="A34" s="1" t="s">
        <v>262</v>
      </c>
      <c r="B34" s="1" t="s">
        <v>263</v>
      </c>
      <c r="C34" s="1" t="s">
        <v>302</v>
      </c>
      <c r="D34" s="1" t="s">
        <v>265</v>
      </c>
      <c r="E34" s="1" t="s">
        <v>266</v>
      </c>
      <c r="F34" s="1" t="s">
        <v>267</v>
      </c>
      <c r="G34" s="1" t="s">
        <v>268</v>
      </c>
      <c r="H34" s="1" t="s">
        <v>269</v>
      </c>
      <c r="I34" s="1" t="s">
        <v>270</v>
      </c>
      <c r="J34" s="1" t="s">
        <v>303</v>
      </c>
      <c r="K34" s="1" t="s">
        <v>304</v>
      </c>
      <c r="L34" s="1" t="s">
        <v>305</v>
      </c>
      <c r="M34" s="1" t="s">
        <v>306</v>
      </c>
      <c r="N34" s="1" t="s">
        <v>21</v>
      </c>
      <c r="O34" s="2" t="s">
        <v>307</v>
      </c>
      <c r="P34" s="3" t="s">
        <v>265</v>
      </c>
      <c r="Q34" s="3" t="str">
        <f t="shared" ref="Q34:Q65" si="1">IF(P34=D34,F34,D34)</f>
        <v>C</v>
      </c>
      <c r="R34" s="3" t="s">
        <v>35</v>
      </c>
      <c r="S34" s="2" t="s">
        <v>308</v>
      </c>
      <c r="T34" s="2" t="s">
        <v>309</v>
      </c>
      <c r="U34" s="3" t="s">
        <v>38</v>
      </c>
    </row>
    <row r="35" spans="1:21" ht="30" x14ac:dyDescent="0.15">
      <c r="A35" s="1" t="s">
        <v>262</v>
      </c>
      <c r="B35" s="1" t="s">
        <v>263</v>
      </c>
      <c r="C35" s="1" t="s">
        <v>310</v>
      </c>
      <c r="D35" s="1" t="s">
        <v>265</v>
      </c>
      <c r="E35" s="1" t="s">
        <v>266</v>
      </c>
      <c r="F35" s="1" t="s">
        <v>267</v>
      </c>
      <c r="G35" s="1" t="s">
        <v>268</v>
      </c>
      <c r="H35" s="1" t="s">
        <v>269</v>
      </c>
      <c r="I35" s="1" t="s">
        <v>270</v>
      </c>
      <c r="J35" s="1" t="s">
        <v>311</v>
      </c>
      <c r="K35" s="1" t="s">
        <v>312</v>
      </c>
      <c r="L35" s="1" t="s">
        <v>313</v>
      </c>
      <c r="M35" s="1" t="s">
        <v>314</v>
      </c>
      <c r="N35" s="1" t="s">
        <v>21</v>
      </c>
      <c r="O35" s="2" t="s">
        <v>315</v>
      </c>
      <c r="P35" s="3" t="s">
        <v>267</v>
      </c>
      <c r="Q35" s="3" t="str">
        <f t="shared" si="1"/>
        <v>V</v>
      </c>
      <c r="R35" s="3" t="s">
        <v>35</v>
      </c>
      <c r="S35" s="2" t="s">
        <v>316</v>
      </c>
      <c r="T35" s="2" t="s">
        <v>317</v>
      </c>
      <c r="U35" s="3" t="s">
        <v>38</v>
      </c>
    </row>
    <row r="36" spans="1:21" ht="15" x14ac:dyDescent="0.15">
      <c r="A36" s="1" t="s">
        <v>262</v>
      </c>
      <c r="B36" s="1" t="s">
        <v>263</v>
      </c>
      <c r="C36" s="1" t="s">
        <v>318</v>
      </c>
      <c r="D36" s="1" t="s">
        <v>265</v>
      </c>
      <c r="E36" s="1" t="s">
        <v>266</v>
      </c>
      <c r="F36" s="1" t="s">
        <v>267</v>
      </c>
      <c r="G36" s="1" t="s">
        <v>268</v>
      </c>
      <c r="H36" s="1" t="s">
        <v>269</v>
      </c>
      <c r="I36" s="1" t="s">
        <v>270</v>
      </c>
      <c r="J36" s="1" t="s">
        <v>319</v>
      </c>
      <c r="K36" s="1" t="s">
        <v>320</v>
      </c>
      <c r="L36" s="1" t="s">
        <v>321</v>
      </c>
      <c r="M36" s="1" t="s">
        <v>322</v>
      </c>
      <c r="N36" s="1" t="s">
        <v>21</v>
      </c>
      <c r="O36" s="2" t="s">
        <v>323</v>
      </c>
      <c r="P36" s="3" t="s">
        <v>265</v>
      </c>
      <c r="Q36" s="3" t="str">
        <f t="shared" si="1"/>
        <v>C</v>
      </c>
      <c r="R36" s="3" t="s">
        <v>35</v>
      </c>
      <c r="S36" s="2" t="s">
        <v>324</v>
      </c>
      <c r="T36" s="2" t="s">
        <v>325</v>
      </c>
      <c r="U36" s="3" t="s">
        <v>38</v>
      </c>
    </row>
    <row r="37" spans="1:21" ht="30" x14ac:dyDescent="0.15">
      <c r="A37" s="1" t="s">
        <v>262</v>
      </c>
      <c r="B37" s="1" t="s">
        <v>263</v>
      </c>
      <c r="C37" s="1" t="s">
        <v>326</v>
      </c>
      <c r="D37" s="1" t="s">
        <v>265</v>
      </c>
      <c r="E37" s="1" t="s">
        <v>266</v>
      </c>
      <c r="F37" s="1" t="s">
        <v>267</v>
      </c>
      <c r="G37" s="1" t="s">
        <v>268</v>
      </c>
      <c r="H37" s="1" t="s">
        <v>269</v>
      </c>
      <c r="I37" s="1" t="s">
        <v>270</v>
      </c>
      <c r="J37" s="1" t="s">
        <v>327</v>
      </c>
      <c r="K37" s="1" t="s">
        <v>328</v>
      </c>
      <c r="L37" s="1" t="s">
        <v>329</v>
      </c>
      <c r="M37" s="1" t="s">
        <v>210</v>
      </c>
      <c r="N37" s="1" t="s">
        <v>21</v>
      </c>
      <c r="O37" s="2" t="s">
        <v>330</v>
      </c>
      <c r="P37" s="3" t="s">
        <v>267</v>
      </c>
      <c r="Q37" s="3" t="str">
        <f t="shared" si="1"/>
        <v>V</v>
      </c>
      <c r="R37" s="3" t="s">
        <v>53</v>
      </c>
      <c r="S37" s="2" t="s">
        <v>331</v>
      </c>
      <c r="T37" s="2" t="s">
        <v>332</v>
      </c>
      <c r="U37" s="3" t="s">
        <v>38</v>
      </c>
    </row>
    <row r="38" spans="1:21" ht="30" x14ac:dyDescent="0.15">
      <c r="A38" s="1" t="s">
        <v>262</v>
      </c>
      <c r="B38" s="1" t="s">
        <v>263</v>
      </c>
      <c r="C38" s="1" t="s">
        <v>333</v>
      </c>
      <c r="D38" s="1" t="s">
        <v>265</v>
      </c>
      <c r="E38" s="1" t="s">
        <v>266</v>
      </c>
      <c r="F38" s="1" t="s">
        <v>267</v>
      </c>
      <c r="G38" s="1" t="s">
        <v>268</v>
      </c>
      <c r="H38" s="1" t="s">
        <v>269</v>
      </c>
      <c r="I38" s="1" t="s">
        <v>270</v>
      </c>
      <c r="J38" s="1" t="s">
        <v>334</v>
      </c>
      <c r="K38" s="1" t="s">
        <v>335</v>
      </c>
      <c r="L38" s="1" t="s">
        <v>336</v>
      </c>
      <c r="M38" s="1" t="s">
        <v>194</v>
      </c>
      <c r="N38" s="1" t="s">
        <v>21</v>
      </c>
      <c r="O38" s="2" t="s">
        <v>337</v>
      </c>
      <c r="P38" s="3" t="s">
        <v>265</v>
      </c>
      <c r="Q38" s="3" t="str">
        <f t="shared" si="1"/>
        <v>C</v>
      </c>
      <c r="R38" s="3" t="s">
        <v>35</v>
      </c>
      <c r="S38" s="2" t="s">
        <v>338</v>
      </c>
      <c r="T38" s="2" t="s">
        <v>339</v>
      </c>
      <c r="U38" s="3" t="s">
        <v>38</v>
      </c>
    </row>
    <row r="39" spans="1:21" ht="30" x14ac:dyDescent="0.15">
      <c r="A39" s="1" t="s">
        <v>262</v>
      </c>
      <c r="B39" s="1" t="s">
        <v>263</v>
      </c>
      <c r="C39" s="1" t="s">
        <v>340</v>
      </c>
      <c r="D39" s="1" t="s">
        <v>265</v>
      </c>
      <c r="E39" s="1" t="s">
        <v>266</v>
      </c>
      <c r="F39" s="1" t="s">
        <v>267</v>
      </c>
      <c r="G39" s="1" t="s">
        <v>268</v>
      </c>
      <c r="H39" s="1" t="s">
        <v>269</v>
      </c>
      <c r="I39" s="1" t="s">
        <v>270</v>
      </c>
      <c r="J39" s="1" t="s">
        <v>341</v>
      </c>
      <c r="K39" s="1" t="s">
        <v>342</v>
      </c>
      <c r="L39" s="1" t="s">
        <v>343</v>
      </c>
      <c r="M39" s="1" t="s">
        <v>344</v>
      </c>
      <c r="N39" s="1" t="s">
        <v>21</v>
      </c>
      <c r="O39" s="2" t="s">
        <v>345</v>
      </c>
      <c r="P39" s="3" t="s">
        <v>267</v>
      </c>
      <c r="Q39" s="3" t="str">
        <f t="shared" si="1"/>
        <v>V</v>
      </c>
      <c r="R39" s="3" t="s">
        <v>35</v>
      </c>
      <c r="S39" s="2" t="s">
        <v>346</v>
      </c>
      <c r="T39" s="2" t="s">
        <v>347</v>
      </c>
      <c r="U39" s="3" t="s">
        <v>38</v>
      </c>
    </row>
    <row r="40" spans="1:21" ht="15" x14ac:dyDescent="0.15">
      <c r="A40" s="1" t="s">
        <v>262</v>
      </c>
      <c r="B40" s="1" t="s">
        <v>263</v>
      </c>
      <c r="C40" s="1" t="s">
        <v>348</v>
      </c>
      <c r="D40" s="1" t="s">
        <v>265</v>
      </c>
      <c r="E40" s="1" t="s">
        <v>266</v>
      </c>
      <c r="F40" s="1" t="s">
        <v>267</v>
      </c>
      <c r="G40" s="1" t="s">
        <v>268</v>
      </c>
      <c r="H40" s="1" t="s">
        <v>269</v>
      </c>
      <c r="I40" s="1" t="s">
        <v>270</v>
      </c>
      <c r="J40" s="1" t="s">
        <v>349</v>
      </c>
      <c r="K40" s="1" t="s">
        <v>350</v>
      </c>
      <c r="L40" s="1" t="s">
        <v>351</v>
      </c>
      <c r="M40" s="1" t="s">
        <v>352</v>
      </c>
      <c r="N40" s="1" t="s">
        <v>21</v>
      </c>
      <c r="O40" s="2" t="s">
        <v>353</v>
      </c>
      <c r="P40" s="3" t="s">
        <v>265</v>
      </c>
      <c r="Q40" s="3" t="str">
        <f t="shared" si="1"/>
        <v>C</v>
      </c>
      <c r="R40" s="3" t="s">
        <v>35</v>
      </c>
      <c r="S40" s="2" t="s">
        <v>354</v>
      </c>
      <c r="T40" s="2" t="s">
        <v>355</v>
      </c>
      <c r="U40" s="3" t="s">
        <v>38</v>
      </c>
    </row>
    <row r="41" spans="1:21" ht="30" x14ac:dyDescent="0.15">
      <c r="A41" s="1" t="s">
        <v>262</v>
      </c>
      <c r="B41" s="1" t="s">
        <v>263</v>
      </c>
      <c r="C41" s="1" t="s">
        <v>356</v>
      </c>
      <c r="D41" s="1" t="s">
        <v>265</v>
      </c>
      <c r="E41" s="1" t="s">
        <v>266</v>
      </c>
      <c r="F41" s="1" t="s">
        <v>267</v>
      </c>
      <c r="G41" s="1" t="s">
        <v>268</v>
      </c>
      <c r="H41" s="1" t="s">
        <v>269</v>
      </c>
      <c r="I41" s="1" t="s">
        <v>270</v>
      </c>
      <c r="J41" s="1" t="s">
        <v>357</v>
      </c>
      <c r="K41" s="1" t="s">
        <v>358</v>
      </c>
      <c r="L41" s="1" t="s">
        <v>359</v>
      </c>
      <c r="M41" s="1" t="s">
        <v>360</v>
      </c>
      <c r="N41" s="1" t="s">
        <v>21</v>
      </c>
      <c r="O41" s="2" t="s">
        <v>361</v>
      </c>
      <c r="P41" s="3" t="s">
        <v>267</v>
      </c>
      <c r="Q41" s="3" t="str">
        <f t="shared" si="1"/>
        <v>V</v>
      </c>
      <c r="R41" s="3" t="s">
        <v>35</v>
      </c>
      <c r="S41" s="2" t="s">
        <v>362</v>
      </c>
      <c r="T41" s="2" t="s">
        <v>363</v>
      </c>
      <c r="U41" s="3" t="s">
        <v>38</v>
      </c>
    </row>
    <row r="42" spans="1:21" ht="15" x14ac:dyDescent="0.15">
      <c r="A42" s="1" t="s">
        <v>262</v>
      </c>
      <c r="B42" s="1" t="s">
        <v>263</v>
      </c>
      <c r="C42" s="1" t="s">
        <v>364</v>
      </c>
      <c r="D42" s="1" t="s">
        <v>265</v>
      </c>
      <c r="E42" s="1" t="s">
        <v>266</v>
      </c>
      <c r="F42" s="1" t="s">
        <v>267</v>
      </c>
      <c r="G42" s="1" t="s">
        <v>268</v>
      </c>
      <c r="H42" s="1" t="s">
        <v>269</v>
      </c>
      <c r="I42" s="1" t="s">
        <v>270</v>
      </c>
      <c r="J42" s="1" t="s">
        <v>365</v>
      </c>
      <c r="K42" s="1" t="s">
        <v>366</v>
      </c>
      <c r="L42" s="1" t="s">
        <v>367</v>
      </c>
      <c r="M42" s="1" t="s">
        <v>368</v>
      </c>
      <c r="N42" s="1" t="s">
        <v>21</v>
      </c>
      <c r="O42" s="2" t="s">
        <v>369</v>
      </c>
      <c r="P42" s="3" t="s">
        <v>265</v>
      </c>
      <c r="Q42" s="3" t="str">
        <f t="shared" si="1"/>
        <v>C</v>
      </c>
      <c r="R42" s="3" t="s">
        <v>53</v>
      </c>
      <c r="S42" s="2" t="s">
        <v>370</v>
      </c>
      <c r="T42" s="2" t="s">
        <v>371</v>
      </c>
      <c r="U42" s="3" t="s">
        <v>38</v>
      </c>
    </row>
    <row r="43" spans="1:21" ht="30" x14ac:dyDescent="0.15">
      <c r="A43" s="1" t="s">
        <v>372</v>
      </c>
      <c r="B43" s="1" t="s">
        <v>373</v>
      </c>
      <c r="C43" s="1" t="s">
        <v>374</v>
      </c>
      <c r="D43" s="1" t="s">
        <v>375</v>
      </c>
      <c r="E43" s="1" t="s">
        <v>376</v>
      </c>
      <c r="F43" s="1" t="s">
        <v>377</v>
      </c>
      <c r="G43" s="1" t="s">
        <v>378</v>
      </c>
      <c r="H43" s="1" t="s">
        <v>379</v>
      </c>
      <c r="I43" s="1" t="s">
        <v>380</v>
      </c>
      <c r="J43" s="1" t="s">
        <v>381</v>
      </c>
      <c r="K43" s="1" t="s">
        <v>382</v>
      </c>
      <c r="L43" s="1" t="s">
        <v>383</v>
      </c>
      <c r="M43" s="1" t="s">
        <v>384</v>
      </c>
      <c r="N43" s="1" t="s">
        <v>21</v>
      </c>
      <c r="O43" s="2" t="s">
        <v>385</v>
      </c>
      <c r="P43" s="3" t="s">
        <v>375</v>
      </c>
      <c r="Q43" s="3" t="str">
        <f t="shared" si="1"/>
        <v>K</v>
      </c>
      <c r="R43" s="3" t="s">
        <v>35</v>
      </c>
      <c r="S43" s="2" t="s">
        <v>212</v>
      </c>
      <c r="T43" s="2" t="s">
        <v>386</v>
      </c>
      <c r="U43" s="3" t="s">
        <v>38</v>
      </c>
    </row>
    <row r="44" spans="1:21" ht="30" x14ac:dyDescent="0.15">
      <c r="A44" s="1" t="s">
        <v>372</v>
      </c>
      <c r="B44" s="1" t="s">
        <v>373</v>
      </c>
      <c r="C44" s="1" t="s">
        <v>387</v>
      </c>
      <c r="D44" s="1" t="s">
        <v>375</v>
      </c>
      <c r="E44" s="1" t="s">
        <v>376</v>
      </c>
      <c r="F44" s="1" t="s">
        <v>377</v>
      </c>
      <c r="G44" s="1" t="s">
        <v>378</v>
      </c>
      <c r="H44" s="1" t="s">
        <v>379</v>
      </c>
      <c r="I44" s="1" t="s">
        <v>380</v>
      </c>
      <c r="J44" s="1" t="s">
        <v>388</v>
      </c>
      <c r="K44" s="1" t="s">
        <v>389</v>
      </c>
      <c r="L44" s="1" t="s">
        <v>390</v>
      </c>
      <c r="M44" s="1" t="s">
        <v>391</v>
      </c>
      <c r="N44" s="1" t="s">
        <v>21</v>
      </c>
      <c r="O44" s="2" t="s">
        <v>392</v>
      </c>
      <c r="P44" s="3" t="s">
        <v>377</v>
      </c>
      <c r="Q44" s="3" t="str">
        <f t="shared" si="1"/>
        <v>E</v>
      </c>
      <c r="R44" s="3" t="s">
        <v>35</v>
      </c>
      <c r="S44" s="2" t="s">
        <v>393</v>
      </c>
      <c r="T44" s="2" t="s">
        <v>394</v>
      </c>
      <c r="U44" s="3" t="s">
        <v>38</v>
      </c>
    </row>
    <row r="45" spans="1:21" ht="15" x14ac:dyDescent="0.15">
      <c r="A45" s="1" t="s">
        <v>372</v>
      </c>
      <c r="B45" s="1" t="s">
        <v>373</v>
      </c>
      <c r="C45" s="1" t="s">
        <v>395</v>
      </c>
      <c r="D45" s="1" t="s">
        <v>375</v>
      </c>
      <c r="E45" s="1" t="s">
        <v>376</v>
      </c>
      <c r="F45" s="1" t="s">
        <v>377</v>
      </c>
      <c r="G45" s="1" t="s">
        <v>378</v>
      </c>
      <c r="H45" s="1" t="s">
        <v>379</v>
      </c>
      <c r="I45" s="1" t="s">
        <v>380</v>
      </c>
      <c r="J45" s="1" t="s">
        <v>396</v>
      </c>
      <c r="K45" s="1" t="s">
        <v>397</v>
      </c>
      <c r="L45" s="1" t="s">
        <v>398</v>
      </c>
      <c r="M45" s="1" t="s">
        <v>399</v>
      </c>
      <c r="N45" s="1" t="s">
        <v>21</v>
      </c>
      <c r="O45" s="2" t="s">
        <v>400</v>
      </c>
      <c r="P45" s="3" t="s">
        <v>375</v>
      </c>
      <c r="Q45" s="3" t="str">
        <f t="shared" si="1"/>
        <v>K</v>
      </c>
      <c r="R45" s="3" t="s">
        <v>53</v>
      </c>
      <c r="S45" s="2" t="s">
        <v>401</v>
      </c>
      <c r="T45" s="2" t="s">
        <v>402</v>
      </c>
      <c r="U45" s="3" t="s">
        <v>38</v>
      </c>
    </row>
    <row r="46" spans="1:21" ht="15" x14ac:dyDescent="0.15">
      <c r="A46" s="1" t="s">
        <v>372</v>
      </c>
      <c r="B46" s="1" t="s">
        <v>373</v>
      </c>
      <c r="C46" s="1" t="s">
        <v>403</v>
      </c>
      <c r="D46" s="1" t="s">
        <v>375</v>
      </c>
      <c r="E46" s="1" t="s">
        <v>376</v>
      </c>
      <c r="F46" s="1" t="s">
        <v>377</v>
      </c>
      <c r="G46" s="1" t="s">
        <v>378</v>
      </c>
      <c r="H46" s="1" t="s">
        <v>379</v>
      </c>
      <c r="I46" s="1" t="s">
        <v>380</v>
      </c>
      <c r="J46" s="1" t="s">
        <v>404</v>
      </c>
      <c r="K46" s="1" t="s">
        <v>405</v>
      </c>
      <c r="L46" s="1" t="s">
        <v>406</v>
      </c>
      <c r="M46" s="1" t="s">
        <v>407</v>
      </c>
      <c r="N46" s="1" t="s">
        <v>21</v>
      </c>
      <c r="O46" s="2" t="s">
        <v>408</v>
      </c>
      <c r="P46" s="3" t="s">
        <v>377</v>
      </c>
      <c r="Q46" s="3" t="str">
        <f t="shared" si="1"/>
        <v>E</v>
      </c>
      <c r="R46" s="3" t="s">
        <v>35</v>
      </c>
      <c r="S46" s="2" t="s">
        <v>409</v>
      </c>
      <c r="T46" s="2" t="s">
        <v>410</v>
      </c>
      <c r="U46" s="3" t="s">
        <v>38</v>
      </c>
    </row>
    <row r="47" spans="1:21" ht="30" x14ac:dyDescent="0.15">
      <c r="A47" s="1" t="s">
        <v>372</v>
      </c>
      <c r="B47" s="1" t="s">
        <v>373</v>
      </c>
      <c r="C47" s="1" t="s">
        <v>411</v>
      </c>
      <c r="D47" s="1" t="s">
        <v>375</v>
      </c>
      <c r="E47" s="1" t="s">
        <v>376</v>
      </c>
      <c r="F47" s="1" t="s">
        <v>377</v>
      </c>
      <c r="G47" s="1" t="s">
        <v>378</v>
      </c>
      <c r="H47" s="1" t="s">
        <v>379</v>
      </c>
      <c r="I47" s="1" t="s">
        <v>380</v>
      </c>
      <c r="J47" s="1" t="s">
        <v>412</v>
      </c>
      <c r="K47" s="1" t="s">
        <v>413</v>
      </c>
      <c r="L47" s="1" t="s">
        <v>414</v>
      </c>
      <c r="M47" s="1" t="s">
        <v>415</v>
      </c>
      <c r="N47" s="1" t="s">
        <v>21</v>
      </c>
      <c r="O47" s="2" t="s">
        <v>416</v>
      </c>
      <c r="P47" s="3" t="s">
        <v>375</v>
      </c>
      <c r="Q47" s="3" t="str">
        <f t="shared" si="1"/>
        <v>K</v>
      </c>
      <c r="R47" s="3" t="s">
        <v>35</v>
      </c>
      <c r="S47" s="2" t="s">
        <v>417</v>
      </c>
      <c r="T47" s="2" t="s">
        <v>418</v>
      </c>
      <c r="U47" s="3" t="s">
        <v>38</v>
      </c>
    </row>
    <row r="48" spans="1:21" ht="15" x14ac:dyDescent="0.15">
      <c r="A48" s="1" t="s">
        <v>372</v>
      </c>
      <c r="B48" s="1" t="s">
        <v>373</v>
      </c>
      <c r="C48" s="1" t="s">
        <v>419</v>
      </c>
      <c r="D48" s="1" t="s">
        <v>375</v>
      </c>
      <c r="E48" s="1" t="s">
        <v>376</v>
      </c>
      <c r="F48" s="1" t="s">
        <v>377</v>
      </c>
      <c r="G48" s="1" t="s">
        <v>378</v>
      </c>
      <c r="H48" s="1" t="s">
        <v>379</v>
      </c>
      <c r="I48" s="1" t="s">
        <v>380</v>
      </c>
      <c r="J48" s="1" t="s">
        <v>420</v>
      </c>
      <c r="K48" s="1" t="s">
        <v>421</v>
      </c>
      <c r="L48" s="1" t="s">
        <v>422</v>
      </c>
      <c r="M48" s="1" t="s">
        <v>423</v>
      </c>
      <c r="N48" s="1" t="s">
        <v>21</v>
      </c>
      <c r="O48" s="2" t="s">
        <v>424</v>
      </c>
      <c r="P48" s="3" t="s">
        <v>377</v>
      </c>
      <c r="Q48" s="3" t="str">
        <f t="shared" si="1"/>
        <v>E</v>
      </c>
      <c r="R48" s="3" t="s">
        <v>53</v>
      </c>
      <c r="S48" s="2" t="s">
        <v>425</v>
      </c>
      <c r="T48" s="2" t="s">
        <v>426</v>
      </c>
      <c r="U48" s="3" t="s">
        <v>38</v>
      </c>
    </row>
    <row r="49" spans="1:21" ht="30" x14ac:dyDescent="0.15">
      <c r="A49" s="1" t="s">
        <v>372</v>
      </c>
      <c r="B49" s="1" t="s">
        <v>373</v>
      </c>
      <c r="C49" s="1" t="s">
        <v>427</v>
      </c>
      <c r="D49" s="1" t="s">
        <v>375</v>
      </c>
      <c r="E49" s="1" t="s">
        <v>376</v>
      </c>
      <c r="F49" s="1" t="s">
        <v>377</v>
      </c>
      <c r="G49" s="1" t="s">
        <v>378</v>
      </c>
      <c r="H49" s="1" t="s">
        <v>379</v>
      </c>
      <c r="I49" s="1" t="s">
        <v>380</v>
      </c>
      <c r="J49" s="1" t="s">
        <v>428</v>
      </c>
      <c r="K49" s="1" t="s">
        <v>429</v>
      </c>
      <c r="L49" s="1" t="s">
        <v>430</v>
      </c>
      <c r="M49" s="1" t="s">
        <v>431</v>
      </c>
      <c r="N49" s="1" t="s">
        <v>21</v>
      </c>
      <c r="O49" s="2" t="s">
        <v>432</v>
      </c>
      <c r="P49" s="3" t="s">
        <v>375</v>
      </c>
      <c r="Q49" s="3" t="str">
        <f t="shared" si="1"/>
        <v>K</v>
      </c>
      <c r="R49" s="3" t="s">
        <v>35</v>
      </c>
      <c r="S49" s="2" t="s">
        <v>433</v>
      </c>
      <c r="T49" s="2" t="s">
        <v>434</v>
      </c>
      <c r="U49" s="3" t="s">
        <v>38</v>
      </c>
    </row>
    <row r="50" spans="1:21" ht="15" x14ac:dyDescent="0.15">
      <c r="A50" s="1" t="s">
        <v>372</v>
      </c>
      <c r="B50" s="1" t="s">
        <v>373</v>
      </c>
      <c r="C50" s="1" t="s">
        <v>435</v>
      </c>
      <c r="D50" s="1" t="s">
        <v>375</v>
      </c>
      <c r="E50" s="1" t="s">
        <v>376</v>
      </c>
      <c r="F50" s="1" t="s">
        <v>377</v>
      </c>
      <c r="G50" s="1" t="s">
        <v>378</v>
      </c>
      <c r="H50" s="1" t="s">
        <v>379</v>
      </c>
      <c r="I50" s="1" t="s">
        <v>380</v>
      </c>
      <c r="J50" s="1" t="s">
        <v>436</v>
      </c>
      <c r="K50" s="1" t="s">
        <v>437</v>
      </c>
      <c r="L50" s="1" t="s">
        <v>438</v>
      </c>
      <c r="M50" s="1" t="s">
        <v>439</v>
      </c>
      <c r="N50" s="1" t="s">
        <v>21</v>
      </c>
      <c r="O50" s="2" t="s">
        <v>440</v>
      </c>
      <c r="P50" s="3" t="s">
        <v>377</v>
      </c>
      <c r="Q50" s="3" t="str">
        <f t="shared" si="1"/>
        <v>E</v>
      </c>
      <c r="R50" s="3" t="s">
        <v>35</v>
      </c>
      <c r="S50" s="2" t="s">
        <v>441</v>
      </c>
      <c r="T50" s="2" t="s">
        <v>442</v>
      </c>
      <c r="U50" s="3" t="s">
        <v>38</v>
      </c>
    </row>
    <row r="51" spans="1:21" ht="30" x14ac:dyDescent="0.15">
      <c r="A51" s="1" t="s">
        <v>372</v>
      </c>
      <c r="B51" s="1" t="s">
        <v>373</v>
      </c>
      <c r="C51" s="1" t="s">
        <v>443</v>
      </c>
      <c r="D51" s="1" t="s">
        <v>375</v>
      </c>
      <c r="E51" s="1" t="s">
        <v>376</v>
      </c>
      <c r="F51" s="1" t="s">
        <v>377</v>
      </c>
      <c r="G51" s="1" t="s">
        <v>378</v>
      </c>
      <c r="H51" s="1" t="s">
        <v>379</v>
      </c>
      <c r="I51" s="1" t="s">
        <v>380</v>
      </c>
      <c r="J51" s="1" t="s">
        <v>444</v>
      </c>
      <c r="K51" s="1" t="s">
        <v>445</v>
      </c>
      <c r="L51" s="1" t="s">
        <v>446</v>
      </c>
      <c r="M51" s="1" t="s">
        <v>352</v>
      </c>
      <c r="N51" s="1" t="s">
        <v>21</v>
      </c>
      <c r="O51" s="2" t="s">
        <v>447</v>
      </c>
      <c r="P51" s="3" t="s">
        <v>377</v>
      </c>
      <c r="Q51" s="3" t="str">
        <f t="shared" si="1"/>
        <v>E</v>
      </c>
      <c r="R51" s="3" t="s">
        <v>35</v>
      </c>
      <c r="S51" s="2" t="s">
        <v>425</v>
      </c>
      <c r="T51" s="2" t="s">
        <v>448</v>
      </c>
      <c r="U51" s="3" t="s">
        <v>38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zoomScaleNormal="100" workbookViewId="0"/>
  </sheetViews>
  <sheetFormatPr baseColWidth="10" defaultColWidth="12.6640625" defaultRowHeight="13" x14ac:dyDescent="0.15"/>
  <sheetData>
    <row r="1" spans="1:2" ht="14" x14ac:dyDescent="0.15">
      <c r="A1" s="1" t="s">
        <v>449</v>
      </c>
      <c r="B1" s="1" t="s">
        <v>450</v>
      </c>
    </row>
    <row r="2" spans="1:2" ht="14" x14ac:dyDescent="0.15">
      <c r="A2" s="1" t="s">
        <v>21</v>
      </c>
      <c r="B2" s="1" t="s">
        <v>451</v>
      </c>
    </row>
    <row r="3" spans="1:2" x14ac:dyDescent="0.15">
      <c r="A3" t="s">
        <v>38</v>
      </c>
      <c r="B3" t="s">
        <v>452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Table 1</vt:lpstr>
      <vt:lpstr>Références 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RAOELISON GUITTON Joelle</cp:lastModifiedBy>
  <cp:revision>0</cp:revision>
  <dcterms:created xsi:type="dcterms:W3CDTF">2026-10-28T12:27:20Z</dcterms:created>
  <dcterms:modified xsi:type="dcterms:W3CDTF">2026-10-28T12:31:20Z</dcterms:modified>
  <dc:language>en-US</dc:language>
</cp:coreProperties>
</file>